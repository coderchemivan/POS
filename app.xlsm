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ivan_\Documents\UNAM\SS\punto_de_venta\"/>
    </mc:Choice>
  </mc:AlternateContent>
  <xr:revisionPtr revIDLastSave="0" documentId="13_ncr:1_{AC162EEC-CEAC-410F-9607-475E8AB4CA2D}" xr6:coauthVersionLast="47" xr6:coauthVersionMax="47" xr10:uidLastSave="{00000000-0000-0000-0000-000000000000}"/>
  <bookViews>
    <workbookView xWindow="-108" yWindow="-108" windowWidth="23256" windowHeight="12456" xr2:uid="{F0B8DF64-9BD1-4418-B757-F80C3CE41DE7}"/>
  </bookViews>
  <sheets>
    <sheet name="Hoja5" sheetId="5" r:id="rId1"/>
    <sheet name="Ventas" sheetId="1" r:id="rId2"/>
    <sheet name="Factura" sheetId="6" r:id="rId3"/>
    <sheet name="Inventario" sheetId="2" r:id="rId4"/>
    <sheet name="Histórico de Ventas" sheetId="3" r:id="rId5"/>
    <sheet name="ABC" sheetId="4" r:id="rId6"/>
  </sheets>
  <functionGroups builtInGroupCount="19"/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F7" i="4"/>
  <c r="G7" i="4" s="1"/>
  <c r="F8" i="4"/>
  <c r="F9" i="4" s="1"/>
  <c r="F6" i="4"/>
  <c r="F5" i="4"/>
  <c r="G6" i="4"/>
  <c r="G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" i="4"/>
  <c r="E5" i="4" s="1"/>
  <c r="E1" i="4"/>
  <c r="F10" i="4" l="1"/>
  <c r="G9" i="4"/>
  <c r="G8" i="4"/>
  <c r="F11" i="4" l="1"/>
  <c r="G10" i="4"/>
  <c r="F12" i="4" l="1"/>
  <c r="G11" i="4"/>
  <c r="G12" i="4" l="1"/>
  <c r="F13" i="4"/>
  <c r="G13" i="4" l="1"/>
  <c r="F14" i="4"/>
  <c r="G14" i="4" l="1"/>
  <c r="F15" i="4"/>
  <c r="G15" i="4" l="1"/>
  <c r="F16" i="4"/>
  <c r="F17" i="4" l="1"/>
  <c r="G16" i="4"/>
  <c r="F18" i="4" l="1"/>
  <c r="G17" i="4"/>
  <c r="F19" i="4" l="1"/>
  <c r="G18" i="4"/>
  <c r="G19" i="4" l="1"/>
  <c r="F20" i="4"/>
  <c r="G20" i="4" l="1"/>
  <c r="F21" i="4"/>
  <c r="G21" i="4" l="1"/>
  <c r="F22" i="4"/>
  <c r="G22" i="4" l="1"/>
  <c r="F23" i="4"/>
  <c r="G23" i="4" l="1"/>
  <c r="F24" i="4"/>
  <c r="G24" i="4" s="1"/>
  <c r="L6" i="4" l="1"/>
  <c r="M6" i="4" s="1"/>
  <c r="L4" i="4"/>
  <c r="M4" i="4" s="1"/>
  <c r="L5" i="4"/>
  <c r="M5" i="4" s="1"/>
</calcChain>
</file>

<file path=xl/sharedStrings.xml><?xml version="1.0" encoding="utf-8"?>
<sst xmlns="http://schemas.openxmlformats.org/spreadsheetml/2006/main" count="212" uniqueCount="78">
  <si>
    <t>Número de factura</t>
  </si>
  <si>
    <t>Fecha</t>
  </si>
  <si>
    <t>Hora</t>
  </si>
  <si>
    <t>Producto</t>
  </si>
  <si>
    <t>Cantidad</t>
  </si>
  <si>
    <t>Importe</t>
  </si>
  <si>
    <t>5</t>
  </si>
  <si>
    <t>$ 380</t>
  </si>
  <si>
    <t>ID</t>
  </si>
  <si>
    <t>Descripción</t>
  </si>
  <si>
    <t>Precio</t>
  </si>
  <si>
    <t>Existencia (pza)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</si>
  <si>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</si>
  <si>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</si>
  <si>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</si>
  <si>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</si>
  <si>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</si>
  <si>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</si>
  <si>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</si>
  <si>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</si>
  <si>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Producto 9</t>
  </si>
  <si>
    <t>Producto 10</t>
  </si>
  <si>
    <t>Producto 11</t>
  </si>
  <si>
    <t>Producto 12</t>
  </si>
  <si>
    <t>Producto 13</t>
  </si>
  <si>
    <t>Producto 14</t>
  </si>
  <si>
    <t>Producto 15</t>
  </si>
  <si>
    <t>Producto 16</t>
  </si>
  <si>
    <t>Producto 17</t>
  </si>
  <si>
    <t>Producto 18</t>
  </si>
  <si>
    <t>Producto 19</t>
  </si>
  <si>
    <t>Producto 20</t>
  </si>
  <si>
    <t>Total</t>
  </si>
  <si>
    <t>C:\Users\ivan_\Documents\UNAM\SS\punto_de_venta\files\images\inventario\char.jpg</t>
  </si>
  <si>
    <t>Product ID</t>
  </si>
  <si>
    <t>Suma de Total</t>
  </si>
  <si>
    <t>Ranking</t>
  </si>
  <si>
    <t>% Item</t>
  </si>
  <si>
    <t>% Ingreso</t>
  </si>
  <si>
    <t>ABC</t>
  </si>
  <si>
    <t>Ingreso Total</t>
  </si>
  <si>
    <t>No Items</t>
  </si>
  <si>
    <t>Código</t>
  </si>
  <si>
    <t>%Items</t>
  </si>
  <si>
    <t>A</t>
  </si>
  <si>
    <t>B</t>
  </si>
  <si>
    <t>C</t>
  </si>
  <si>
    <t>&gt;80%</t>
  </si>
  <si>
    <t>Categoría</t>
  </si>
  <si>
    <t>E</t>
  </si>
  <si>
    <t>D</t>
  </si>
  <si>
    <t>2</t>
  </si>
  <si>
    <t>$ 152</t>
  </si>
  <si>
    <t>$ 2480</t>
  </si>
  <si>
    <t>$ 555</t>
  </si>
  <si>
    <t>7</t>
  </si>
  <si>
    <t>$ 2359</t>
  </si>
  <si>
    <t>$ 2120</t>
  </si>
  <si>
    <t>$ 1965</t>
  </si>
  <si>
    <t>4</t>
  </si>
  <si>
    <t>$ 416</t>
  </si>
  <si>
    <t>$ 728</t>
  </si>
  <si>
    <t>$ 1685</t>
  </si>
  <si>
    <t>$ 539</t>
  </si>
  <si>
    <t>6</t>
  </si>
  <si>
    <t>$ 2358</t>
  </si>
  <si>
    <t>ene-23</t>
  </si>
  <si>
    <t>feb-23</t>
  </si>
  <si>
    <t>mar-23</t>
  </si>
  <si>
    <t>abr-23</t>
  </si>
  <si>
    <t>may-23</t>
  </si>
  <si>
    <t>jun-23</t>
  </si>
  <si>
    <t>jul-23</t>
  </si>
  <si>
    <t>ago-23</t>
  </si>
  <si>
    <t>01/09/2023</t>
  </si>
  <si>
    <t>01/10/2023</t>
  </si>
  <si>
    <t>01/11/2023</t>
  </si>
  <si>
    <t>$ 3472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</si>
</sst>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hh:mm:ss\ AM/PM"/>
  </numFmts>
  <fonts count="6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rgb="FF92D050"/>
      </patternFill>
    </fill>
    <fill>
      <patternFill patternType="solid">
        <fgColor rgb="FFFFC000"/>
        <bgColor rgb="FFFFC000"/>
      </patternFill>
    </fill>
    <fill>
      <patternFill patternType="solid">
        <fgColor rgb="FFFF0000"/>
        <bgColor rgb="FFFF0000"/>
      </patternFill>
    </fill>
  </fills>
  <borders count="5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7">
    <xf numFmtId="0" fontId="0" fillId="0" borderId="0" xfId="0"/>
    <xf numFmtId="19" fontId="0" fillId="0" borderId="0" xfId="0" applyNumberFormat="1"/>
    <xf numFmtId="0" fontId="1" fillId="0" borderId="0" xfId="0" applyFont="1"/>
    <xf numFmtId="0" fontId="0" fillId="0" borderId="0" xfId="0" pivotButton="1"/>
    <xf numFmtId="37" fontId="0" fillId="0" borderId="0" xfId="0" applyNumberFormat="1"/>
    <xf numFmtId="0" fontId="3" fillId="2" borderId="1" xfId="0" applyFont="1" applyFill="1" applyBorder="1" applyAlignment="1">
      <alignment horizontal="center"/>
    </xf>
    <xf numFmtId="0" fontId="0" fillId="3" borderId="0" xfId="0" applyFill="1"/>
    <xf numFmtId="164" fontId="0" fillId="4" borderId="0" xfId="0" applyNumberFormat="1" applyFill="1"/>
    <xf numFmtId="0" fontId="0" fillId="4" borderId="0" xfId="0" applyFill="1"/>
    <xf numFmtId="9" fontId="0" fillId="0" borderId="0" xfId="0" applyNumberFormat="1"/>
    <xf numFmtId="0" fontId="4" fillId="0" borderId="2" xfId="0" applyFont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9" fontId="0" fillId="5" borderId="3" xfId="0" applyNumberFormat="1" applyFill="1" applyBorder="1" applyAlignment="1">
      <alignment horizontal="center"/>
    </xf>
    <xf numFmtId="0" fontId="0" fillId="5" borderId="3" xfId="0" applyFill="1" applyBorder="1"/>
    <xf numFmtId="9" fontId="0" fillId="5" borderId="3" xfId="0" applyNumberFormat="1" applyFill="1" applyBorder="1"/>
    <xf numFmtId="0" fontId="4" fillId="6" borderId="4" xfId="0" applyFont="1" applyFill="1" applyBorder="1" applyAlignment="1">
      <alignment horizontal="center"/>
    </xf>
    <xf numFmtId="9" fontId="0" fillId="6" borderId="4" xfId="0" applyNumberFormat="1" applyFill="1" applyBorder="1" applyAlignment="1">
      <alignment horizontal="center"/>
    </xf>
    <xf numFmtId="0" fontId="0" fillId="6" borderId="4" xfId="0" applyFill="1" applyBorder="1"/>
    <xf numFmtId="9" fontId="0" fillId="6" borderId="4" xfId="0" applyNumberFormat="1" applyFill="1" applyBorder="1"/>
    <xf numFmtId="0" fontId="4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4" xfId="0" applyFill="1" applyBorder="1"/>
    <xf numFmtId="9" fontId="0" fillId="7" borderId="4" xfId="0" applyNumberFormat="1" applyFill="1" applyBorder="1"/>
    <xf numFmtId="0" fontId="0" fillId="0" borderId="0" xfId="0" applyAlignment="1">
      <alignment horizontal="center"/>
    </xf>
    <xf numFmtId="165" fontId="0" fillId="0" borderId="0" xfId="0" applyNumberFormat="1"/>
    <xf numFmtId="14" fontId="0" fillId="0" borderId="0" xfId="0" applyNumberFormat="1"/>
    <xf numFmtId="17" fontId="0" fillId="0" borderId="0" xfId="0" applyNumberFormat="1"/>
  </cellXfs>
  <cellStyles count="1">
    <cellStyle name="Normal" xfId="0" builtinId="0"/>
  </cellStyles>
  <dxfs count="8">
    <dxf>
      <fill>
        <patternFill>
          <bgColor theme="9"/>
        </patternFill>
      </fill>
    </dxf>
    <dxf>
      <fill>
        <patternFill>
          <bgColor theme="7" tint="0.39994506668294322"/>
        </patternFill>
      </fill>
    </dxf>
    <dxf>
      <fill>
        <patternFill>
          <bgColor theme="2" tint="-9.9948118533890809E-2"/>
        </patternFill>
      </fill>
    </dxf>
    <dxf>
      <numFmt numFmtId="166" formatCode="#,##0_);\(#,##0\)"/>
    </dxf>
    <dxf>
      <numFmt numFmtId="0" formatCode="General"/>
    </dxf>
    <dxf>
      <numFmt numFmtId="0" formatCode="General"/>
    </dxf>
    <dxf>
      <numFmt numFmtId="165" formatCode="hh:mm:ss\ AM/PM"/>
    </dxf>
    <dxf>
      <numFmt numFmtId="165" formatCode="hh:mm: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358140</xdr:colOff>
          <xdr:row>3</xdr:row>
          <xdr:rowOff>91440</xdr:rowOff>
        </xdr:from>
        <xdr:to>
          <xdr:col>3</xdr:col>
          <xdr:colOff>640080</xdr:colOff>
          <xdr:row>5</xdr:row>
          <xdr:rowOff>60960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App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7</xdr:row>
          <xdr:rowOff>60960</xdr:rowOff>
        </xdr:from>
        <xdr:to>
          <xdr:col>3</xdr:col>
          <xdr:colOff>609600</xdr:colOff>
          <xdr:row>9</xdr:row>
          <xdr:rowOff>30480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hojas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van gomez" refreshedDate="45205.744551736112" createdVersion="8" refreshedVersion="8" minRefreshableVersion="3" recordCount="20" xr:uid="{5FD778DC-F53C-4EFA-A472-411BEF1ADE52}">
  <cacheSource type="worksheet">
    <worksheetSource name="historico"/>
  </cacheSource>
  <cacheFields count="11">
    <cacheField name="ID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Descripción" numFmtId="0">
      <sharedItems count="20">
        <s v="Producto 1"/>
        <s v="Producto 2"/>
        <s v="Producto 3"/>
        <s v="Producto 4"/>
        <s v="Producto 5"/>
        <s v="Producto 6"/>
        <s v="Producto 7"/>
        <s v="Producto 8"/>
        <s v="Producto 9"/>
        <s v="Producto 10"/>
        <s v="Producto 11"/>
        <s v="Producto 12"/>
        <s v="Producto 13"/>
        <s v="Producto 14"/>
        <s v="Producto 15"/>
        <s v="Producto 16"/>
        <s v="Producto 17"/>
        <s v="Producto 18"/>
        <s v="Producto 19"/>
        <s v="Producto 20"/>
      </sharedItems>
    </cacheField>
    <cacheField name="Total" numFmtId="0">
      <sharedItems containsSemiMixedTypes="0" containsString="0" containsNumber="1" minValue="0" maxValue="134398.79999999999"/>
    </cacheField>
    <cacheField name="44927" numFmtId="0">
      <sharedItems containsSemiMixedTypes="0" containsString="0" containsNumber="1" minValue="0" maxValue="13600"/>
    </cacheField>
    <cacheField name="44958" numFmtId="0">
      <sharedItems containsSemiMixedTypes="0" containsString="0" containsNumber="1" minValue="0" maxValue="16264.633333333335"/>
    </cacheField>
    <cacheField name="44986" numFmtId="0">
      <sharedItems containsSemiMixedTypes="0" containsString="0" containsNumber="1" minValue="0" maxValue="15550.466666666667"/>
    </cacheField>
    <cacheField name="45017" numFmtId="0">
      <sharedItems containsSemiMixedTypes="0" containsString="0" containsNumber="1" minValue="0" maxValue="17615"/>
    </cacheField>
    <cacheField name="45047" numFmtId="0">
      <sharedItems containsSemiMixedTypes="0" containsString="0" containsNumber="1" minValue="0" maxValue="16727.833333333332"/>
    </cacheField>
    <cacheField name="45078" numFmtId="0">
      <sharedItems containsSemiMixedTypes="0" containsString="0" containsNumber="1" minValue="0" maxValue="15220.966666666667"/>
    </cacheField>
    <cacheField name="45108" numFmtId="0">
      <sharedItems containsSemiMixedTypes="0" containsString="0" containsNumber="1" minValue="0" maxValue="15692.433333333334"/>
    </cacheField>
    <cacheField name="45139" numFmtId="0">
      <sharedItems containsSemiMixedTypes="0" containsString="0" containsNumber="1" minValue="0" maxValue="23727.4666666666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n v="134398.79999999999"/>
    <n v="13600"/>
    <n v="16264.633333333335"/>
    <n v="15550.466666666667"/>
    <n v="17615"/>
    <n v="16727.833333333332"/>
    <n v="15220.966666666667"/>
    <n v="15692.433333333334"/>
    <n v="23727.466666666667"/>
  </r>
  <r>
    <x v="1"/>
    <x v="1"/>
    <n v="42300"/>
    <n v="3750"/>
    <n v="4500"/>
    <n v="9050"/>
    <n v="5000"/>
    <n v="5000"/>
    <n v="5000"/>
    <n v="5000"/>
    <n v="5000"/>
  </r>
  <r>
    <x v="2"/>
    <x v="2"/>
    <n v="42300"/>
    <n v="3750"/>
    <n v="4500"/>
    <n v="9050"/>
    <n v="5000"/>
    <n v="5000"/>
    <n v="5000"/>
    <n v="5000"/>
    <n v="5000"/>
  </r>
  <r>
    <x v="3"/>
    <x v="3"/>
    <n v="36663.333333333328"/>
    <n v="4376.666666666667"/>
    <n v="5850"/>
    <n v="5833.333333333333"/>
    <n v="6333.333333333333"/>
    <n v="5500"/>
    <n v="3000"/>
    <n v="3000"/>
    <n v="2770"/>
  </r>
  <r>
    <x v="4"/>
    <x v="4"/>
    <n v="8800"/>
    <n v="8800"/>
    <n v="0"/>
    <n v="0"/>
    <n v="0"/>
    <n v="0"/>
    <n v="0"/>
    <n v="0"/>
    <n v="0"/>
  </r>
  <r>
    <x v="5"/>
    <x v="5"/>
    <n v="13000"/>
    <n v="0"/>
    <n v="0"/>
    <n v="0"/>
    <n v="0"/>
    <n v="0"/>
    <n v="4333.333333333333"/>
    <n v="4333.333333333333"/>
    <n v="4333.333333333333"/>
  </r>
  <r>
    <x v="6"/>
    <x v="6"/>
    <n v="0"/>
    <n v="0"/>
    <n v="0"/>
    <n v="0"/>
    <n v="0"/>
    <n v="0"/>
    <n v="0"/>
    <n v="0"/>
    <n v="0"/>
  </r>
  <r>
    <x v="7"/>
    <x v="7"/>
    <n v="5039.9999999999991"/>
    <n v="566.66666666666663"/>
    <n v="566.66666666666663"/>
    <n v="666.66666666666663"/>
    <n v="666.66666666666663"/>
    <n v="566.66666666666663"/>
    <n v="666.66666666666663"/>
    <n v="666.66666666666663"/>
    <n v="673.33333333333337"/>
  </r>
  <r>
    <x v="8"/>
    <x v="8"/>
    <n v="3400.0000000000005"/>
    <n v="583.33333333333337"/>
    <n v="583.33333333333337"/>
    <n v="600"/>
    <n v="900"/>
    <n v="733.33333333333337"/>
    <n v="0"/>
    <n v="0"/>
    <n v="0"/>
  </r>
  <r>
    <x v="9"/>
    <x v="9"/>
    <n v="5623.3333333333339"/>
    <n v="496.66666666666669"/>
    <n v="833.33333333333337"/>
    <n v="920"/>
    <n v="1203.3333333333333"/>
    <n v="920"/>
    <n v="496.66666666666669"/>
    <n v="496.66666666666669"/>
    <n v="256.66666666666669"/>
  </r>
  <r>
    <x v="10"/>
    <x v="10"/>
    <n v="4583.3333333333339"/>
    <n v="376.66666666666669"/>
    <n v="750"/>
    <n v="666.66666666666663"/>
    <n v="583.33333333333337"/>
    <n v="750"/>
    <n v="500"/>
    <n v="500"/>
    <n v="456.66666666666669"/>
  </r>
  <r>
    <x v="11"/>
    <x v="11"/>
    <n v="5816.666666666667"/>
    <n v="280"/>
    <n v="883.33333333333337"/>
    <n v="386.66666666666669"/>
    <n v="1300"/>
    <n v="960"/>
    <n v="346.66666666666669"/>
    <n v="346.66666666666669"/>
    <n v="1313.3333333333333"/>
  </r>
  <r>
    <x v="12"/>
    <x v="12"/>
    <n v="10350"/>
    <n v="0"/>
    <n v="0"/>
    <n v="0"/>
    <n v="0"/>
    <n v="0"/>
    <n v="3450"/>
    <n v="3450"/>
    <n v="3450"/>
  </r>
  <r>
    <x v="13"/>
    <x v="13"/>
    <n v="10000"/>
    <n v="0"/>
    <n v="0"/>
    <n v="0"/>
    <n v="0"/>
    <n v="0"/>
    <n v="3333.3333333333335"/>
    <n v="3333.3333333333335"/>
    <n v="3333.3333333333335"/>
  </r>
  <r>
    <x v="14"/>
    <x v="14"/>
    <n v="4200"/>
    <n v="363.33333333333331"/>
    <n v="593.33333333333337"/>
    <n v="653.33333333333337"/>
    <n v="743.33333333333337"/>
    <n v="360"/>
    <n v="393.33333333333331"/>
    <n v="393.33333333333331"/>
    <n v="700"/>
  </r>
  <r>
    <x v="15"/>
    <x v="15"/>
    <n v="4100"/>
    <n v="500"/>
    <n v="600"/>
    <n v="733.33333333333337"/>
    <n v="833.33333333333337"/>
    <n v="600"/>
    <n v="416.66666666666669"/>
    <n v="416.66666666666669"/>
    <n v="0"/>
  </r>
  <r>
    <x v="16"/>
    <x v="16"/>
    <n v="4690"/>
    <n v="350"/>
    <n v="366.66666666666669"/>
    <n v="706.66666666666663"/>
    <n v="833.33333333333337"/>
    <n v="833.33333333333337"/>
    <n v="533.33333333333337"/>
    <n v="533.33333333333337"/>
    <n v="533.33333333333337"/>
  </r>
  <r>
    <x v="17"/>
    <x v="17"/>
    <n v="3686.6666666666665"/>
    <n v="686.66666666666663"/>
    <n v="916.66666666666663"/>
    <n v="833.33333333333337"/>
    <n v="1250"/>
    <n v="0"/>
    <n v="0"/>
    <n v="0"/>
    <n v="0"/>
  </r>
  <r>
    <x v="18"/>
    <x v="18"/>
    <n v="9000"/>
    <n v="0"/>
    <n v="0"/>
    <n v="0"/>
    <n v="0"/>
    <n v="0"/>
    <n v="3000"/>
    <n v="3000"/>
    <n v="3000"/>
  </r>
  <r>
    <x v="19"/>
    <x v="19"/>
    <n v="4106.666666666667"/>
    <n v="513.33333333333337"/>
    <n v="513.33333333333337"/>
    <n v="513.33333333333337"/>
    <n v="513.33333333333337"/>
    <n v="513.33333333333337"/>
    <n v="513.33333333333337"/>
    <n v="513.33333333333337"/>
    <n v="513.3333333333333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87DB35-9898-438D-8B4F-872D0A48377F}" name="TablaDiná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B4:D24" firstHeaderRow="1" firstDataRow="1" firstDataCol="2"/>
  <pivotFields count="11">
    <pivotField axis="axisRow" compact="0" outline="0" showAll="0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axis="axisRow" compact="0" outline="0" showAll="0" sortType="descending" defaultSubtotal="0">
      <items count="20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"/>
        <item x="3"/>
        <item x="4"/>
        <item x="5"/>
        <item x="6"/>
        <item x="7"/>
        <item x="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1"/>
  </rowFields>
  <rowItems count="20">
    <i>
      <x/>
      <x/>
    </i>
    <i>
      <x v="1"/>
      <x v="11"/>
    </i>
    <i>
      <x v="2"/>
      <x v="13"/>
    </i>
    <i>
      <x v="3"/>
      <x v="14"/>
    </i>
    <i>
      <x v="4"/>
      <x v="15"/>
    </i>
    <i>
      <x v="5"/>
      <x v="16"/>
    </i>
    <i>
      <x v="6"/>
      <x v="17"/>
    </i>
    <i>
      <x v="7"/>
      <x v="18"/>
    </i>
    <i>
      <x v="8"/>
      <x v="19"/>
    </i>
    <i>
      <x v="9"/>
      <x v="1"/>
    </i>
    <i>
      <x v="10"/>
      <x v="2"/>
    </i>
    <i>
      <x v="11"/>
      <x v="3"/>
    </i>
    <i>
      <x v="12"/>
      <x v="4"/>
    </i>
    <i>
      <x v="13"/>
      <x v="5"/>
    </i>
    <i>
      <x v="14"/>
      <x v="6"/>
    </i>
    <i>
      <x v="15"/>
      <x v="7"/>
    </i>
    <i>
      <x v="16"/>
      <x v="8"/>
    </i>
    <i>
      <x v="17"/>
      <x v="9"/>
    </i>
    <i>
      <x v="18"/>
      <x v="10"/>
    </i>
    <i>
      <x v="19"/>
      <x v="12"/>
    </i>
  </rowItems>
  <colItems count="1">
    <i/>
  </colItems>
  <dataFields count="1">
    <dataField name="Suma de Total" fld="2" baseField="0" baseItem="0" numFmtId="37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B86A00-EF49-46AF-95E8-0B57553C8E61}" name="DF" displayName="DF" ref="A1:F30" totalsRowShown="0">
  <autoFilter ref="A1:F30" xr:uid="{2FB86A00-EF49-46AF-95E8-0B57553C8E61}"/>
  <tableColumns count="6">
    <tableColumn id="1" xr3:uid="{935346FE-9575-4707-9B61-7D2F9F975AC9}" name="Número de factura"/>
    <tableColumn id="2" xr3:uid="{5135A86E-58A8-4655-B028-D50B1DBE5226}" name="Fecha" dataDxfId="7"/>
    <tableColumn id="3" xr3:uid="{E8EF60D2-9116-4CCA-9483-0BD4CD461784}" name="Hora" dataDxfId="6"/>
    <tableColumn id="4" xr3:uid="{E304B97A-DCA4-4FE3-9FD3-1B82281F5C02}" name="Producto"/>
    <tableColumn id="5" xr3:uid="{8F917925-5C70-4E4D-AF0A-F3B570D82557}" name="Cantidad"/>
    <tableColumn id="6" xr3:uid="{B87DDB8A-25FD-48A7-BB63-152006747278}" name="Impor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0577B2-2BBC-4734-A9EE-AA9627A448DC}" name="factura_items" displayName="factura_items" ref="A1:D2" insertRow="1" totalsRowShown="0">
  <autoFilter ref="A1:D2" xr:uid="{750577B2-2BBC-4734-A9EE-AA9627A448DC}"/>
  <tableColumns count="4">
    <tableColumn id="1" xr3:uid="{725C77DE-08E7-45BA-B5ED-8B2E75C25BDB}" name="Producto"/>
    <tableColumn id="2" xr3:uid="{1673658C-C513-492D-B701-21E95EB9FE91}" name="Cantidad"/>
    <tableColumn id="3" xr3:uid="{AAF41DCB-BDF7-4C44-BA20-F2A45D80D6FB}" name="Precio"/>
    <tableColumn id="4" xr3:uid="{F9D70AF4-DAE1-47C9-AD52-C99BC68F66E3}" name="Impor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F420C3-E397-4B8C-894B-BAC45806E6CA}" name="inventario" displayName="inventario" ref="A1:E20" totalsRowShown="0">
  <autoFilter ref="A1:E20" xr:uid="{11F420C3-E397-4B8C-894B-BAC45806E6CA}"/>
  <tableColumns count="5">
    <tableColumn id="1" xr3:uid="{EE3806DC-7773-4FBF-A057-561A0F09B2DE}" name="Product ID" dataDxfId="5">
      <calculatedColumnFormula>_xlfn.CONCAT(LEFT(inventario[[#This Row],[Descripción]],3),inventario[[#This Row],[Categoría]],RANDBETWEEN(10000,99999))</calculatedColumnFormula>
    </tableColumn>
    <tableColumn id="2" xr3:uid="{92AE214F-A9BC-42B6-9139-BFB7E2CAFB69}" name="Descripción"/>
    <tableColumn id="3" xr3:uid="{66DC45CB-BCAE-4CAB-999A-C2B19D053974}" name="Precio"/>
    <tableColumn id="4" xr3:uid="{09F4A71B-A634-4314-AED7-6123BC55A980}" name="Existencia (pza)"/>
    <tableColumn id="5" xr3:uid="{B44DE17A-F2E5-436F-B15E-13951E7BC816}" name="Categoría" dataDxfId="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B6181BC-AA3C-4EEB-8C1E-4D52C8769143}" name="historico" displayName="historico" ref="A2:N22" totalsRowShown="0">
  <autoFilter ref="A2:N22" xr:uid="{7B6181BC-AA3C-4EEB-8C1E-4D52C8769143}"/>
  <tableColumns count="14">
    <tableColumn id="1" xr3:uid="{6B143317-CC13-4E0C-891E-CAC9BB00C744}" name="ID"/>
    <tableColumn id="2" xr3:uid="{56CE9761-929F-48BD-8948-D440875672BB}" name="Descripción"/>
    <tableColumn id="3" xr3:uid="{2C2B9D48-85D2-429A-A03F-4329C0580E42}" name="Total"/>
    <tableColumn id="4" xr3:uid="{370F33B1-E260-42FB-874C-AEA3A9CE18A6}" name="ene-23"/>
    <tableColumn id="5" xr3:uid="{B462D887-FB56-453D-B560-163C52B59BD6}" name="feb-23"/>
    <tableColumn id="6" xr3:uid="{BD6B8BB9-CE6B-4472-9BC7-800B2D78D403}" name="mar-23"/>
    <tableColumn id="7" xr3:uid="{D6CAD10A-C80C-4E08-B255-510A3935425D}" name="abr-23"/>
    <tableColumn id="8" xr3:uid="{FFF73CD0-C55B-4F58-B313-9A83B654EADB}" name="may-23"/>
    <tableColumn id="9" xr3:uid="{C6021EDC-65E5-4742-8D1A-1A81F5807B21}" name="jun-23"/>
    <tableColumn id="10" xr3:uid="{E9B84CF3-40F4-4B31-ADAC-74EFB8F7F7A2}" name="jul-23"/>
    <tableColumn id="11" xr3:uid="{2E1D4B76-1E3C-4C95-B601-28496E09E652}" name="ago-23"/>
    <tableColumn id="12" xr3:uid="{FA07CD8A-0B7E-420F-B3B1-28AA8CFE04B3}" name="01/09/2023"/>
    <tableColumn id="13" xr3:uid="{E8B7755B-8BB4-497A-954C-9D7590786DC3}" name="01/10/2023"/>
    <tableColumn id="14" xr3:uid="{92A523BD-1E15-44E2-8F96-A8CFB33813E5}" name="01/11/202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8B696-148E-4ADB-93FE-128E422900F7}">
  <sheetPr codeName="Hoja1"/>
  <dimension ref="A1:M17"/>
  <sheetViews>
    <sheetView tabSelected="1" workbookViewId="0">
      <selection activeCell="L6" sqref="L6"/>
    </sheetView>
  </sheetViews>
  <sheetFormatPr baseColWidth="10" defaultRowHeight="14.4" x14ac:dyDescent="0.3"/>
  <sheetData>
    <row r="1" spans="1:13" x14ac:dyDescent="0.3">
      <c r="A1" t="s">
        <v>33</v>
      </c>
    </row>
    <row r="4" spans="1:13" x14ac:dyDescent="0.3">
      <c r="K4" s="2"/>
    </row>
    <row r="6" spans="1:13" x14ac:dyDescent="0.3">
      <c r="L6" s="2"/>
    </row>
    <row r="8" spans="1:13" x14ac:dyDescent="0.3">
      <c r="M8" s="2"/>
    </row>
    <row r="9" spans="1:13" x14ac:dyDescent="0.3">
      <c r="E9" s="2"/>
    </row>
    <row r="10" spans="1:13" x14ac:dyDescent="0.3">
      <c r="H10" s="2"/>
      <c r="I10" s="2"/>
      <c r="J10" s="2"/>
    </row>
    <row r="11" spans="1:13" x14ac:dyDescent="0.3">
      <c r="L11" s="2"/>
    </row>
    <row r="17" spans="3:3" x14ac:dyDescent="0.3">
      <c r="C17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otón1_Haga_clic_en">
                <anchor moveWithCells="1" sizeWithCells="1">
                  <from>
                    <xdr:col>1</xdr:col>
                    <xdr:colOff>358140</xdr:colOff>
                    <xdr:row>3</xdr:row>
                    <xdr:rowOff>91440</xdr:rowOff>
                  </from>
                  <to>
                    <xdr:col>3</xdr:col>
                    <xdr:colOff>640080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ostrarTodasLasHojas">
                <anchor moveWithCells="1" sizeWithCells="1">
                  <from>
                    <xdr:col>1</xdr:col>
                    <xdr:colOff>327660</xdr:colOff>
                    <xdr:row>7</xdr:row>
                    <xdr:rowOff>60960</xdr:rowOff>
                  </from>
                  <to>
                    <xdr:col>3</xdr:col>
                    <xdr:colOff>609600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70540-55D8-49AF-B0D3-5CEF21EE8E98}">
  <sheetPr codeName="Ventas"/>
  <dimension ref="A1:F30"/>
  <sheetViews>
    <sheetView workbookViewId="0">
      <selection activeCell="A23" sqref="A23"/>
    </sheetView>
  </sheetViews>
  <sheetFormatPr baseColWidth="10" defaultRowHeight="14.4" x14ac:dyDescent="0.3"/>
  <cols>
    <col min="1" max="1" width="23.21875" customWidth="1"/>
    <col min="2" max="3" width="12.664062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>
        <v>2310000001</v>
      </c>
      <c r="B2" s="25">
        <v>45226</v>
      </c>
      <c r="C2" s="1">
        <v>0.72506944444444443</v>
      </c>
      <c r="D2" t="s">
        <v>13</v>
      </c>
      <c r="E2" t="s">
        <v>51</v>
      </c>
      <c r="F2" t="s">
        <v>52</v>
      </c>
    </row>
    <row r="3" spans="1:6" x14ac:dyDescent="0.3">
      <c r="A3">
        <v>2310000002</v>
      </c>
      <c r="B3" s="24">
        <v>45226</v>
      </c>
      <c r="C3" s="24">
        <v>0.72526620370370365</v>
      </c>
      <c r="D3" t="s">
        <v>15</v>
      </c>
      <c r="E3" t="s">
        <v>6</v>
      </c>
      <c r="F3" t="s">
        <v>53</v>
      </c>
    </row>
    <row r="4" spans="1:6" x14ac:dyDescent="0.3">
      <c r="A4">
        <v>2310000002</v>
      </c>
      <c r="B4" s="24">
        <v>45226</v>
      </c>
      <c r="C4" s="24">
        <v>0.72526620370370365</v>
      </c>
      <c r="D4" t="s">
        <v>15</v>
      </c>
      <c r="E4" t="s">
        <v>6</v>
      </c>
      <c r="F4" t="s">
        <v>53</v>
      </c>
    </row>
    <row r="5" spans="1:6" x14ac:dyDescent="0.3">
      <c r="A5">
        <v>2310000003</v>
      </c>
      <c r="B5" s="24">
        <v>45226</v>
      </c>
      <c r="C5" s="24">
        <v>0.72687500000000005</v>
      </c>
      <c r="D5" t="s">
        <v>27</v>
      </c>
      <c r="E5" t="s">
        <v>6</v>
      </c>
      <c r="F5" t="s">
        <v>54</v>
      </c>
    </row>
    <row r="6" spans="1:6" x14ac:dyDescent="0.3">
      <c r="A6">
        <v>2310000003</v>
      </c>
      <c r="B6" s="24">
        <v>45226</v>
      </c>
      <c r="C6" s="24">
        <v>0.72687500000000005</v>
      </c>
      <c r="D6" t="s">
        <v>27</v>
      </c>
      <c r="E6" t="s">
        <v>6</v>
      </c>
      <c r="F6" t="s">
        <v>54</v>
      </c>
    </row>
    <row r="7" spans="1:6" x14ac:dyDescent="0.3">
      <c r="A7">
        <v>2310000003</v>
      </c>
      <c r="B7" s="24">
        <v>45226</v>
      </c>
      <c r="C7" s="24">
        <v>0.72687500000000005</v>
      </c>
      <c r="D7" t="s">
        <v>27</v>
      </c>
      <c r="E7" t="s">
        <v>6</v>
      </c>
      <c r="F7" t="s">
        <v>54</v>
      </c>
    </row>
    <row r="8" spans="1:6" x14ac:dyDescent="0.3">
      <c r="A8">
        <v>2310000003</v>
      </c>
      <c r="B8" s="24">
        <v>45226</v>
      </c>
      <c r="C8" s="24">
        <v>0.72687500000000005</v>
      </c>
      <c r="D8" t="s">
        <v>27</v>
      </c>
      <c r="E8" t="s">
        <v>6</v>
      </c>
      <c r="F8" t="s">
        <v>54</v>
      </c>
    </row>
    <row r="9" spans="1:6" x14ac:dyDescent="0.3">
      <c r="A9">
        <v>2310000004</v>
      </c>
      <c r="B9" s="24">
        <v>45226</v>
      </c>
      <c r="C9" s="24">
        <v>0.73059027777777785</v>
      </c>
      <c r="D9" t="s">
        <v>13</v>
      </c>
      <c r="E9" t="s">
        <v>6</v>
      </c>
      <c r="F9" t="s">
        <v>7</v>
      </c>
    </row>
    <row r="10" spans="1:6" x14ac:dyDescent="0.3">
      <c r="A10">
        <v>2310000005</v>
      </c>
      <c r="B10" s="24">
        <v>45226</v>
      </c>
      <c r="C10" s="24">
        <v>0.73709490740740735</v>
      </c>
      <c r="D10" t="s">
        <v>16</v>
      </c>
      <c r="E10" t="s">
        <v>55</v>
      </c>
      <c r="F10" t="s">
        <v>56</v>
      </c>
    </row>
    <row r="11" spans="1:6" x14ac:dyDescent="0.3">
      <c r="A11">
        <v>2310000005</v>
      </c>
      <c r="B11" s="24">
        <v>45226</v>
      </c>
      <c r="C11" s="24">
        <v>0.73709490740740735</v>
      </c>
      <c r="D11" t="s">
        <v>16</v>
      </c>
      <c r="E11" t="s">
        <v>55</v>
      </c>
      <c r="F11" t="s">
        <v>56</v>
      </c>
    </row>
    <row r="12" spans="1:6" x14ac:dyDescent="0.3">
      <c r="A12">
        <v>2310000006</v>
      </c>
      <c r="B12" s="24">
        <v>45226</v>
      </c>
      <c r="C12" s="24">
        <v>0.74114583333333339</v>
      </c>
      <c r="D12" t="s">
        <v>12</v>
      </c>
      <c r="E12" t="s">
        <v>6</v>
      </c>
      <c r="F12" t="s">
        <v>57</v>
      </c>
    </row>
    <row r="13" spans="1:6" x14ac:dyDescent="0.3">
      <c r="A13">
        <v>2310000007</v>
      </c>
      <c r="B13" s="24">
        <v>45226</v>
      </c>
      <c r="C13" s="24">
        <v>0.74164351851851851</v>
      </c>
      <c r="D13" t="s">
        <v>17</v>
      </c>
      <c r="E13" t="s">
        <v>6</v>
      </c>
      <c r="F13" t="s">
        <v>58</v>
      </c>
    </row>
    <row r="14" spans="1:6" x14ac:dyDescent="0.3">
      <c r="A14">
        <v>2310000007</v>
      </c>
      <c r="B14" s="24">
        <v>45226</v>
      </c>
      <c r="C14" s="24">
        <v>0.74164351851851851</v>
      </c>
      <c r="D14" t="s">
        <v>17</v>
      </c>
      <c r="E14" t="s">
        <v>6</v>
      </c>
      <c r="F14" t="s">
        <v>58</v>
      </c>
    </row>
    <row r="15" spans="1:6" x14ac:dyDescent="0.3">
      <c r="A15">
        <v>2311000001</v>
      </c>
      <c r="B15" s="24">
        <v>45245</v>
      </c>
      <c r="C15" s="24">
        <v>0.78622685185185182</v>
      </c>
      <c r="D15" t="s">
        <v>14</v>
      </c>
      <c r="E15" t="s">
        <v>59</v>
      </c>
      <c r="F15" t="s">
        <v>60</v>
      </c>
    </row>
    <row r="16" spans="1:6" x14ac:dyDescent="0.3">
      <c r="A16">
        <v>2311000001</v>
      </c>
      <c r="B16" s="24">
        <v>45245</v>
      </c>
      <c r="C16" s="24">
        <v>0.78622685185185182</v>
      </c>
      <c r="D16" t="s">
        <v>14</v>
      </c>
      <c r="E16" t="s">
        <v>59</v>
      </c>
      <c r="F16" t="s">
        <v>60</v>
      </c>
    </row>
    <row r="17" spans="1:6" x14ac:dyDescent="0.3">
      <c r="A17">
        <v>2311000002</v>
      </c>
      <c r="B17" s="24">
        <v>45245</v>
      </c>
      <c r="C17" s="24">
        <v>0.84751157407407407</v>
      </c>
      <c r="D17" t="s">
        <v>16</v>
      </c>
      <c r="E17" t="s">
        <v>6</v>
      </c>
      <c r="F17" t="s">
        <v>62</v>
      </c>
    </row>
    <row r="18" spans="1:6" x14ac:dyDescent="0.3">
      <c r="A18">
        <v>2311000002</v>
      </c>
      <c r="B18" s="24">
        <v>45245</v>
      </c>
      <c r="C18" s="24">
        <v>0.84751157407407407</v>
      </c>
      <c r="D18" t="s">
        <v>16</v>
      </c>
      <c r="E18" t="s">
        <v>6</v>
      </c>
      <c r="F18" t="s">
        <v>62</v>
      </c>
    </row>
    <row r="19" spans="1:6" x14ac:dyDescent="0.3">
      <c r="A19">
        <v>2311000003</v>
      </c>
      <c r="B19" s="24">
        <v>45245</v>
      </c>
      <c r="C19" s="24">
        <v>0.84789351851851846</v>
      </c>
      <c r="D19" t="s">
        <v>24</v>
      </c>
      <c r="E19" t="s">
        <v>55</v>
      </c>
      <c r="F19" t="s">
        <v>63</v>
      </c>
    </row>
    <row r="20" spans="1:6" x14ac:dyDescent="0.3">
      <c r="A20" s="2">
        <v>2311000003</v>
      </c>
      <c r="B20" s="24">
        <v>45245</v>
      </c>
      <c r="C20" s="24">
        <v>0.84789351851851846</v>
      </c>
      <c r="D20" t="s">
        <v>24</v>
      </c>
      <c r="E20" t="s">
        <v>55</v>
      </c>
      <c r="F20" t="s">
        <v>63</v>
      </c>
    </row>
    <row r="21" spans="1:6" x14ac:dyDescent="0.3">
      <c r="A21">
        <v>2311000003</v>
      </c>
      <c r="B21" s="24">
        <v>45245</v>
      </c>
      <c r="C21" s="24">
        <v>0.84789351851851846</v>
      </c>
      <c r="D21" t="s">
        <v>24</v>
      </c>
      <c r="E21" t="s">
        <v>55</v>
      </c>
      <c r="F21" t="s">
        <v>63</v>
      </c>
    </row>
    <row r="22" spans="1:6" x14ac:dyDescent="0.3">
      <c r="A22">
        <v>2311000003</v>
      </c>
      <c r="B22" s="24">
        <v>45245</v>
      </c>
      <c r="C22" s="24">
        <v>0.84789351851851846</v>
      </c>
      <c r="D22" t="s">
        <v>24</v>
      </c>
      <c r="E22" t="s">
        <v>55</v>
      </c>
      <c r="F22" t="s">
        <v>63</v>
      </c>
    </row>
    <row r="23" spans="1:6" x14ac:dyDescent="0.3">
      <c r="A23">
        <v>2311000004</v>
      </c>
      <c r="B23" s="24">
        <v>45245</v>
      </c>
      <c r="C23" s="24">
        <v>0.84899305555555549</v>
      </c>
      <c r="D23" t="s">
        <v>17</v>
      </c>
      <c r="E23" t="s">
        <v>64</v>
      </c>
      <c r="F23" t="s">
        <v>65</v>
      </c>
    </row>
    <row r="24" spans="1:6" x14ac:dyDescent="0.3">
      <c r="A24">
        <v>2311000004</v>
      </c>
      <c r="B24" s="24">
        <v>45245</v>
      </c>
      <c r="C24" s="24">
        <v>0.84899305555555549</v>
      </c>
      <c r="D24" t="s">
        <v>17</v>
      </c>
      <c r="E24" t="s">
        <v>64</v>
      </c>
      <c r="F24" t="s">
        <v>65</v>
      </c>
    </row>
    <row r="25" spans="1:6" x14ac:dyDescent="0.3">
      <c r="A25">
        <v>2311000004</v>
      </c>
      <c r="B25" s="24">
        <v>45245</v>
      </c>
      <c r="C25" s="24">
        <v>0.84899305555555549</v>
      </c>
      <c r="D25" t="s">
        <v>17</v>
      </c>
      <c r="E25" t="s">
        <v>64</v>
      </c>
      <c r="F25" t="s">
        <v>65</v>
      </c>
    </row>
    <row r="26" spans="1:6" x14ac:dyDescent="0.3">
      <c r="A26">
        <v>2311000005</v>
      </c>
      <c r="B26" s="24">
        <v>45245</v>
      </c>
      <c r="C26" s="24">
        <v>0.84914351851851855</v>
      </c>
      <c r="D26" t="s">
        <v>14</v>
      </c>
      <c r="E26" t="s">
        <v>55</v>
      </c>
      <c r="F26" t="s">
        <v>61</v>
      </c>
    </row>
    <row r="27" spans="1:6" x14ac:dyDescent="0.3">
      <c r="A27">
        <v>2311000006</v>
      </c>
      <c r="B27" s="24">
        <v>45245</v>
      </c>
      <c r="C27" s="24">
        <v>0.85063657407407411</v>
      </c>
      <c r="D27" t="s">
        <v>16</v>
      </c>
      <c r="E27" t="s">
        <v>6</v>
      </c>
      <c r="F27" t="s">
        <v>62</v>
      </c>
    </row>
    <row r="28" spans="1:6" x14ac:dyDescent="0.3">
      <c r="A28">
        <v>2311000006</v>
      </c>
      <c r="B28" s="24">
        <v>45245</v>
      </c>
      <c r="C28" s="24">
        <v>0.85063657407407411</v>
      </c>
      <c r="D28" t="s">
        <v>16</v>
      </c>
      <c r="E28" t="s">
        <v>6</v>
      </c>
      <c r="F28" t="s">
        <v>62</v>
      </c>
    </row>
    <row r="29" spans="1:6" x14ac:dyDescent="0.3">
      <c r="A29">
        <v>2311000007</v>
      </c>
      <c r="B29" s="24">
        <v>45245</v>
      </c>
      <c r="C29" s="24">
        <v>0.88675925925925936</v>
      </c>
      <c r="D29" t="s">
        <v>15</v>
      </c>
      <c r="E29" t="s">
        <v>55</v>
      </c>
      <c r="F29" t="s">
        <v>77</v>
      </c>
    </row>
    <row r="30" spans="1:6" x14ac:dyDescent="0.3">
      <c r="A30">
        <v>2311000007</v>
      </c>
      <c r="B30" s="24">
        <v>45245</v>
      </c>
      <c r="C30" s="24">
        <v>0.88675925925925936</v>
      </c>
      <c r="D30" t="s">
        <v>15</v>
      </c>
      <c r="E30" t="s">
        <v>55</v>
      </c>
      <c r="F30" t="s">
        <v>77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91CD6-2AF4-4112-9EE8-8546E89E4846}">
  <sheetPr codeName="Hoja6"/>
  <dimension ref="A1:D1"/>
  <sheetViews>
    <sheetView workbookViewId="0">
      <selection activeCell="A2" sqref="A2"/>
    </sheetView>
  </sheetViews>
  <sheetFormatPr baseColWidth="10" defaultRowHeight="14.4" x14ac:dyDescent="0.3"/>
  <sheetData>
    <row r="1" spans="1:4" x14ac:dyDescent="0.3">
      <c r="A1" t="s">
        <v>3</v>
      </c>
      <c r="B1" t="s">
        <v>4</v>
      </c>
      <c r="C1" t="s">
        <v>10</v>
      </c>
      <c r="D1" t="s">
        <v>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0EF9B-1F77-4999-9F12-72F8CF024EAB}">
  <sheetPr codeName="Hoja3"/>
  <dimension ref="A1:G20"/>
  <sheetViews>
    <sheetView workbookViewId="0">
      <selection activeCell="G16" sqref="G16"/>
    </sheetView>
  </sheetViews>
  <sheetFormatPr baseColWidth="10" defaultRowHeight="14.4" x14ac:dyDescent="0.3"/>
  <cols>
    <col min="1" max="1" width="14.44140625" customWidth="1"/>
    <col min="2" max="2" width="12.5546875" customWidth="1"/>
    <col min="4" max="4" width="15.77734375" customWidth="1"/>
  </cols>
  <sheetData>
    <row r="1" spans="1:7" x14ac:dyDescent="0.3">
      <c r="A1" t="s">
        <v>34</v>
      </c>
      <c r="B1" t="s">
        <v>9</v>
      </c>
      <c r="C1" t="s">
        <v>10</v>
      </c>
      <c r="D1" t="s">
        <v>11</v>
      </c>
      <c r="E1" t="s">
        <v>48</v>
      </c>
    </row>
    <row r="2" spans="1:7" x14ac:dyDescent="0.3">
      <c r="A2" t="str">
        <f ca="1">_xlfn.CONCAT(LEFT(inventario[[#This Row],[Descripción]],3),inventario[[#This Row],[Categoría]],RANDBETWEEN(10000,99999))</f>
        <v>ProE36130</v>
      </c>
      <c r="B2" t="s">
        <v>12</v>
      </c>
      <c r="C2">
        <v>424</v>
      </c>
      <c r="D2">
        <v>34</v>
      </c>
      <c r="E2" t="s">
        <v>49</v>
      </c>
    </row>
    <row r="3" spans="1:7" x14ac:dyDescent="0.3">
      <c r="A3" t="str">
        <f ca="1">_xlfn.CONCAT(LEFT(inventario[[#This Row],[Descripción]],3),inventario[[#This Row],[Categoría]],RANDBETWEEN(10000,99999))</f>
        <v>ProC75836</v>
      </c>
      <c r="B3" t="s">
        <v>13</v>
      </c>
      <c r="C3">
        <v>76</v>
      </c>
      <c r="D3">
        <v>24</v>
      </c>
      <c r="E3" t="s">
        <v>46</v>
      </c>
    </row>
    <row r="4" spans="1:7" x14ac:dyDescent="0.3">
      <c r="A4" t="str">
        <f ca="1">_xlfn.CONCAT(LEFT(inventario[[#This Row],[Descripción]],3),inventario[[#This Row],[Categoría]],RANDBETWEEN(10000,99999))</f>
        <v>ProC99791</v>
      </c>
      <c r="B4" t="s">
        <v>14</v>
      </c>
      <c r="C4">
        <v>104</v>
      </c>
      <c r="D4">
        <v>23</v>
      </c>
      <c r="E4" t="s">
        <v>46</v>
      </c>
    </row>
    <row r="5" spans="1:7" x14ac:dyDescent="0.3">
      <c r="A5" t="str">
        <f ca="1">_xlfn.CONCAT(LEFT(inventario[[#This Row],[Descripción]],3),inventario[[#This Row],[Categoría]],RANDBETWEEN(10000,99999))</f>
        <v>ProD84280</v>
      </c>
      <c r="B5" t="s">
        <v>15</v>
      </c>
      <c r="C5">
        <v>496</v>
      </c>
      <c r="D5">
        <v>41</v>
      </c>
      <c r="E5" t="s">
        <v>50</v>
      </c>
    </row>
    <row r="6" spans="1:7" x14ac:dyDescent="0.3">
      <c r="A6" t="str">
        <f ca="1">_xlfn.CONCAT(LEFT(inventario[[#This Row],[Descripción]],3),inventario[[#This Row],[Categoría]],RANDBETWEEN(10000,99999))</f>
        <v>ProD97151</v>
      </c>
      <c r="B6" t="s">
        <v>16</v>
      </c>
      <c r="C6">
        <v>337</v>
      </c>
      <c r="D6">
        <v>28</v>
      </c>
      <c r="E6" t="s">
        <v>50</v>
      </c>
    </row>
    <row r="7" spans="1:7" x14ac:dyDescent="0.3">
      <c r="A7" t="str">
        <f ca="1">_xlfn.CONCAT(LEFT(inventario[[#This Row],[Descripción]],3),inventario[[#This Row],[Categoría]],RANDBETWEEN(10000,99999))</f>
        <v>ProD70500</v>
      </c>
      <c r="B7" t="s">
        <v>17</v>
      </c>
      <c r="C7">
        <v>393</v>
      </c>
      <c r="D7">
        <v>30</v>
      </c>
      <c r="E7" t="s">
        <v>50</v>
      </c>
    </row>
    <row r="8" spans="1:7" x14ac:dyDescent="0.3">
      <c r="A8" t="str">
        <f ca="1">_xlfn.CONCAT(LEFT(inventario[[#This Row],[Descripción]],3),inventario[[#This Row],[Categoría]],RANDBETWEEN(10000,99999))</f>
        <v>ProD36612</v>
      </c>
      <c r="B8" t="s">
        <v>18</v>
      </c>
      <c r="C8">
        <v>468</v>
      </c>
      <c r="D8">
        <v>28</v>
      </c>
      <c r="E8" t="s">
        <v>50</v>
      </c>
      <c r="G8" s="2"/>
    </row>
    <row r="9" spans="1:7" x14ac:dyDescent="0.3">
      <c r="A9" t="str">
        <f ca="1">_xlfn.CONCAT(LEFT(inventario[[#This Row],[Descripción]],3),inventario[[#This Row],[Categoría]],RANDBETWEEN(10000,99999))</f>
        <v>ProB81476</v>
      </c>
      <c r="B9" t="s">
        <v>20</v>
      </c>
      <c r="C9">
        <v>380</v>
      </c>
      <c r="D9">
        <v>22</v>
      </c>
      <c r="E9" t="s">
        <v>45</v>
      </c>
    </row>
    <row r="10" spans="1:7" x14ac:dyDescent="0.3">
      <c r="A10" t="str">
        <f ca="1">_xlfn.CONCAT(LEFT(inventario[[#This Row],[Descripción]],3),inventario[[#This Row],[Categoría]],RANDBETWEEN(10000,99999))</f>
        <v>ProD60306</v>
      </c>
      <c r="B10" t="s">
        <v>21</v>
      </c>
      <c r="C10">
        <v>67</v>
      </c>
      <c r="D10">
        <v>49</v>
      </c>
      <c r="E10" t="s">
        <v>50</v>
      </c>
    </row>
    <row r="11" spans="1:7" x14ac:dyDescent="0.3">
      <c r="A11" t="str">
        <f ca="1">_xlfn.CONCAT(LEFT(inventario[[#This Row],[Descripción]],3),inventario[[#This Row],[Categoría]],RANDBETWEEN(10000,99999))</f>
        <v>ProD75454</v>
      </c>
      <c r="B11" t="s">
        <v>22</v>
      </c>
      <c r="C11">
        <v>191</v>
      </c>
      <c r="D11">
        <v>27</v>
      </c>
      <c r="E11" t="s">
        <v>50</v>
      </c>
    </row>
    <row r="12" spans="1:7" x14ac:dyDescent="0.3">
      <c r="A12" t="str">
        <f ca="1">_xlfn.CONCAT(LEFT(inventario[[#This Row],[Descripción]],3),inventario[[#This Row],[Categoría]],RANDBETWEEN(10000,99999))</f>
        <v>ProD78186</v>
      </c>
      <c r="B12" t="s">
        <v>23</v>
      </c>
      <c r="C12">
        <v>454</v>
      </c>
      <c r="D12">
        <v>13</v>
      </c>
      <c r="E12" t="s">
        <v>50</v>
      </c>
    </row>
    <row r="13" spans="1:7" x14ac:dyDescent="0.3">
      <c r="A13" t="str">
        <f ca="1">_xlfn.CONCAT(LEFT(inventario[[#This Row],[Descripción]],3),inventario[[#This Row],[Categoría]],RANDBETWEEN(10000,99999))</f>
        <v>ProB23101</v>
      </c>
      <c r="B13" t="s">
        <v>24</v>
      </c>
      <c r="C13">
        <v>77</v>
      </c>
      <c r="D13">
        <v>50</v>
      </c>
      <c r="E13" t="s">
        <v>45</v>
      </c>
    </row>
    <row r="14" spans="1:7" x14ac:dyDescent="0.3">
      <c r="A14" t="str">
        <f ca="1">_xlfn.CONCAT(LEFT(inventario[[#This Row],[Descripción]],3),inventario[[#This Row],[Categoría]],RANDBETWEEN(10000,99999))</f>
        <v>ProD45757</v>
      </c>
      <c r="B14" t="s">
        <v>25</v>
      </c>
      <c r="C14">
        <v>197</v>
      </c>
      <c r="D14">
        <v>44</v>
      </c>
      <c r="E14" t="s">
        <v>50</v>
      </c>
    </row>
    <row r="15" spans="1:7" x14ac:dyDescent="0.3">
      <c r="A15" t="str">
        <f ca="1">_xlfn.CONCAT(LEFT(inventario[[#This Row],[Descripción]],3),inventario[[#This Row],[Categoría]],RANDBETWEEN(10000,99999))</f>
        <v>ProB63566</v>
      </c>
      <c r="B15" t="s">
        <v>26</v>
      </c>
      <c r="C15">
        <v>222</v>
      </c>
      <c r="D15">
        <v>47</v>
      </c>
      <c r="E15" t="s">
        <v>45</v>
      </c>
    </row>
    <row r="16" spans="1:7" x14ac:dyDescent="0.3">
      <c r="A16" t="str">
        <f ca="1">_xlfn.CONCAT(LEFT(inventario[[#This Row],[Descripción]],3),inventario[[#This Row],[Categoría]],RANDBETWEEN(10000,99999))</f>
        <v>ProE74744</v>
      </c>
      <c r="B16" t="s">
        <v>27</v>
      </c>
      <c r="C16">
        <v>111</v>
      </c>
      <c r="D16">
        <v>25</v>
      </c>
      <c r="E16" t="s">
        <v>49</v>
      </c>
    </row>
    <row r="17" spans="1:5" x14ac:dyDescent="0.3">
      <c r="A17" t="str">
        <f ca="1">_xlfn.CONCAT(LEFT(inventario[[#This Row],[Descripción]],3),inventario[[#This Row],[Categoría]],RANDBETWEEN(10000,99999))</f>
        <v>ProC88444</v>
      </c>
      <c r="B17" t="s">
        <v>28</v>
      </c>
      <c r="C17">
        <v>236</v>
      </c>
      <c r="D17">
        <v>42</v>
      </c>
      <c r="E17" t="s">
        <v>46</v>
      </c>
    </row>
    <row r="18" spans="1:5" x14ac:dyDescent="0.3">
      <c r="A18" t="str">
        <f ca="1">_xlfn.CONCAT(LEFT(inventario[[#This Row],[Descripción]],3),inventario[[#This Row],[Categoría]],RANDBETWEEN(10000,99999))</f>
        <v>ProB28883</v>
      </c>
      <c r="B18" t="s">
        <v>29</v>
      </c>
      <c r="C18">
        <v>229</v>
      </c>
      <c r="D18">
        <v>26</v>
      </c>
      <c r="E18" t="s">
        <v>45</v>
      </c>
    </row>
    <row r="19" spans="1:5" x14ac:dyDescent="0.3">
      <c r="A19" t="str">
        <f ca="1">_xlfn.CONCAT(LEFT(inventario[[#This Row],[Descripción]],3),inventario[[#This Row],[Categoría]],RANDBETWEEN(10000,99999))</f>
        <v>ProB20526</v>
      </c>
      <c r="B19" t="s">
        <v>30</v>
      </c>
      <c r="C19">
        <v>160</v>
      </c>
      <c r="D19">
        <v>14</v>
      </c>
      <c r="E19" t="s">
        <v>45</v>
      </c>
    </row>
    <row r="20" spans="1:5" x14ac:dyDescent="0.3">
      <c r="A20" t="str">
        <f ca="1">_xlfn.CONCAT(LEFT(inventario[[#This Row],[Descripción]],3),inventario[[#This Row],[Categoría]],RANDBETWEEN(10000,99999))</f>
        <v>ProB25786</v>
      </c>
      <c r="B20" t="s">
        <v>31</v>
      </c>
      <c r="C20">
        <v>334</v>
      </c>
      <c r="D20">
        <v>49</v>
      </c>
      <c r="E20" t="s">
        <v>45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13525-4628-47FC-9196-3DD2C0A5EB7C}">
  <sheetPr codeName="Hoja4"/>
  <dimension ref="A2:N22"/>
  <sheetViews>
    <sheetView workbookViewId="0">
      <selection activeCell="K11" sqref="K11"/>
    </sheetView>
  </sheetViews>
  <sheetFormatPr baseColWidth="10" defaultRowHeight="14.4" x14ac:dyDescent="0.3"/>
  <cols>
    <col min="2" max="2" width="12.5546875" customWidth="1"/>
  </cols>
  <sheetData>
    <row r="2" spans="1:14" x14ac:dyDescent="0.3">
      <c r="A2" t="s">
        <v>8</v>
      </c>
      <c r="B2" t="s">
        <v>9</v>
      </c>
      <c r="C2" t="s">
        <v>32</v>
      </c>
      <c r="D2" s="26" t="s">
        <v>66</v>
      </c>
      <c r="E2" s="26" t="s">
        <v>67</v>
      </c>
      <c r="F2" s="26" t="s">
        <v>68</v>
      </c>
      <c r="G2" s="26" t="s">
        <v>69</v>
      </c>
      <c r="H2" s="26" t="s">
        <v>70</v>
      </c>
      <c r="I2" s="26" t="s">
        <v>71</v>
      </c>
      <c r="J2" s="26" t="s">
        <v>72</v>
      </c>
      <c r="K2" s="26" t="s">
        <v>73</v>
      </c>
      <c r="L2" s="25" t="s">
        <v>74</v>
      </c>
      <c r="M2" s="25" t="s">
        <v>75</v>
      </c>
      <c r="N2" s="25" t="s">
        <v>76</v>
      </c>
    </row>
    <row r="3" spans="1:14" x14ac:dyDescent="0.3">
      <c r="A3">
        <v>1</v>
      </c>
      <c r="B3" t="s">
        <v>12</v>
      </c>
      <c r="C3">
        <v>134398.79999999999</v>
      </c>
      <c r="D3">
        <v>13600</v>
      </c>
      <c r="E3">
        <v>16264.633333333335</v>
      </c>
      <c r="F3">
        <v>15550.466666666667</v>
      </c>
      <c r="G3">
        <v>17615</v>
      </c>
      <c r="H3">
        <v>16727.833333333332</v>
      </c>
      <c r="I3">
        <v>15220.966666666667</v>
      </c>
      <c r="J3">
        <v>15692.433333333334</v>
      </c>
      <c r="K3">
        <v>23727.466666666667</v>
      </c>
    </row>
    <row r="4" spans="1:14" x14ac:dyDescent="0.3">
      <c r="A4">
        <v>2</v>
      </c>
      <c r="B4" t="s">
        <v>13</v>
      </c>
      <c r="C4">
        <v>42300</v>
      </c>
      <c r="D4">
        <v>3750</v>
      </c>
      <c r="E4">
        <v>4500</v>
      </c>
      <c r="F4">
        <v>9050</v>
      </c>
      <c r="G4">
        <v>5000</v>
      </c>
      <c r="H4">
        <v>5000</v>
      </c>
      <c r="I4">
        <v>5000</v>
      </c>
      <c r="J4">
        <v>5000</v>
      </c>
      <c r="K4">
        <v>5000</v>
      </c>
    </row>
    <row r="5" spans="1:14" x14ac:dyDescent="0.3">
      <c r="A5">
        <v>3</v>
      </c>
      <c r="B5" t="s">
        <v>14</v>
      </c>
      <c r="C5">
        <v>42300</v>
      </c>
      <c r="D5">
        <v>3750</v>
      </c>
      <c r="E5">
        <v>4500</v>
      </c>
      <c r="F5">
        <v>9050</v>
      </c>
      <c r="G5">
        <v>5000</v>
      </c>
      <c r="H5">
        <v>5000</v>
      </c>
      <c r="I5">
        <v>5000</v>
      </c>
      <c r="J5">
        <v>5000</v>
      </c>
      <c r="K5">
        <v>5000</v>
      </c>
    </row>
    <row r="6" spans="1:14" x14ac:dyDescent="0.3">
      <c r="A6">
        <v>4</v>
      </c>
      <c r="B6" t="s">
        <v>15</v>
      </c>
      <c r="C6">
        <v>36663.333333333328</v>
      </c>
      <c r="D6">
        <v>4376.666666666667</v>
      </c>
      <c r="E6">
        <v>5850</v>
      </c>
      <c r="F6">
        <v>5833.333333333333</v>
      </c>
      <c r="G6">
        <v>6333.333333333333</v>
      </c>
      <c r="H6">
        <v>5500</v>
      </c>
      <c r="I6">
        <v>3000</v>
      </c>
      <c r="J6">
        <v>3000</v>
      </c>
      <c r="K6">
        <v>2770</v>
      </c>
    </row>
    <row r="7" spans="1:14" x14ac:dyDescent="0.3">
      <c r="A7">
        <v>5</v>
      </c>
      <c r="B7" t="s">
        <v>16</v>
      </c>
      <c r="C7">
        <v>8800</v>
      </c>
      <c r="D7">
        <v>8800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</row>
    <row r="8" spans="1:14" x14ac:dyDescent="0.3">
      <c r="A8">
        <v>6</v>
      </c>
      <c r="B8" t="s">
        <v>17</v>
      </c>
      <c r="C8">
        <v>13000</v>
      </c>
      <c r="D8">
        <v>0</v>
      </c>
      <c r="E8">
        <v>0</v>
      </c>
      <c r="F8">
        <v>0</v>
      </c>
      <c r="G8">
        <v>0</v>
      </c>
      <c r="H8">
        <v>0</v>
      </c>
      <c r="I8">
        <v>4333.333333333333</v>
      </c>
      <c r="J8">
        <v>4333.333333333333</v>
      </c>
      <c r="K8">
        <v>4333.333333333333</v>
      </c>
    </row>
    <row r="9" spans="1:14" x14ac:dyDescent="0.3">
      <c r="A9">
        <v>7</v>
      </c>
      <c r="B9" t="s">
        <v>18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</row>
    <row r="10" spans="1:14" x14ac:dyDescent="0.3">
      <c r="A10">
        <v>8</v>
      </c>
      <c r="B10" t="s">
        <v>19</v>
      </c>
      <c r="C10">
        <v>5039.9999999999991</v>
      </c>
      <c r="D10">
        <v>566.66666666666663</v>
      </c>
      <c r="E10">
        <v>566.66666666666663</v>
      </c>
      <c r="F10">
        <v>666.66666666666663</v>
      </c>
      <c r="G10">
        <v>666.66666666666663</v>
      </c>
      <c r="H10">
        <v>566.66666666666663</v>
      </c>
      <c r="I10">
        <v>666.66666666666663</v>
      </c>
      <c r="J10">
        <v>666.66666666666663</v>
      </c>
      <c r="K10">
        <v>673.33333333333337</v>
      </c>
    </row>
    <row r="11" spans="1:14" x14ac:dyDescent="0.3">
      <c r="A11">
        <v>9</v>
      </c>
      <c r="B11" t="s">
        <v>20</v>
      </c>
      <c r="C11">
        <v>3400.0000000000005</v>
      </c>
      <c r="D11">
        <v>583.33333333333337</v>
      </c>
      <c r="E11">
        <v>583.33333333333337</v>
      </c>
      <c r="F11">
        <v>600</v>
      </c>
      <c r="G11">
        <v>900</v>
      </c>
      <c r="H11">
        <v>733.33333333333337</v>
      </c>
      <c r="I11">
        <v>0</v>
      </c>
      <c r="J11">
        <v>0</v>
      </c>
      <c r="K11">
        <v>0</v>
      </c>
    </row>
    <row r="12" spans="1:14" x14ac:dyDescent="0.3">
      <c r="A12">
        <v>10</v>
      </c>
      <c r="B12" t="s">
        <v>21</v>
      </c>
      <c r="C12">
        <v>5623.3333333333339</v>
      </c>
      <c r="D12">
        <v>496.66666666666669</v>
      </c>
      <c r="E12">
        <v>833.33333333333337</v>
      </c>
      <c r="F12">
        <v>920</v>
      </c>
      <c r="G12">
        <v>1203.3333333333333</v>
      </c>
      <c r="H12">
        <v>920</v>
      </c>
      <c r="I12">
        <v>496.66666666666669</v>
      </c>
      <c r="J12">
        <v>496.66666666666669</v>
      </c>
      <c r="K12">
        <v>256.66666666666669</v>
      </c>
    </row>
    <row r="13" spans="1:14" x14ac:dyDescent="0.3">
      <c r="A13">
        <v>11</v>
      </c>
      <c r="B13" t="s">
        <v>22</v>
      </c>
      <c r="C13">
        <v>4583.3333333333339</v>
      </c>
      <c r="D13">
        <v>376.66666666666669</v>
      </c>
      <c r="E13">
        <v>750</v>
      </c>
      <c r="F13">
        <v>666.66666666666663</v>
      </c>
      <c r="G13">
        <v>583.33333333333337</v>
      </c>
      <c r="H13">
        <v>750</v>
      </c>
      <c r="I13">
        <v>500</v>
      </c>
      <c r="J13">
        <v>500</v>
      </c>
      <c r="K13">
        <v>456.66666666666669</v>
      </c>
    </row>
    <row r="14" spans="1:14" x14ac:dyDescent="0.3">
      <c r="A14">
        <v>12</v>
      </c>
      <c r="B14" t="s">
        <v>23</v>
      </c>
      <c r="C14">
        <v>5816.666666666667</v>
      </c>
      <c r="D14">
        <v>280</v>
      </c>
      <c r="E14">
        <v>883.33333333333337</v>
      </c>
      <c r="F14">
        <v>386.66666666666669</v>
      </c>
      <c r="G14">
        <v>1300</v>
      </c>
      <c r="H14">
        <v>960</v>
      </c>
      <c r="I14">
        <v>346.66666666666669</v>
      </c>
      <c r="J14">
        <v>346.66666666666669</v>
      </c>
      <c r="K14">
        <v>1313.3333333333333</v>
      </c>
    </row>
    <row r="15" spans="1:14" x14ac:dyDescent="0.3">
      <c r="A15">
        <v>13</v>
      </c>
      <c r="B15" t="s">
        <v>24</v>
      </c>
      <c r="C15">
        <v>10350</v>
      </c>
      <c r="D15">
        <v>0</v>
      </c>
      <c r="E15">
        <v>0</v>
      </c>
      <c r="F15">
        <v>0</v>
      </c>
      <c r="G15">
        <v>0</v>
      </c>
      <c r="H15">
        <v>0</v>
      </c>
      <c r="I15">
        <v>3450</v>
      </c>
      <c r="J15">
        <v>3450</v>
      </c>
      <c r="K15">
        <v>3450</v>
      </c>
    </row>
    <row r="16" spans="1:14" x14ac:dyDescent="0.3">
      <c r="A16">
        <v>14</v>
      </c>
      <c r="B16" t="s">
        <v>25</v>
      </c>
      <c r="C16">
        <v>10000</v>
      </c>
      <c r="D16">
        <v>0</v>
      </c>
      <c r="E16">
        <v>0</v>
      </c>
      <c r="F16">
        <v>0</v>
      </c>
      <c r="G16">
        <v>0</v>
      </c>
      <c r="H16">
        <v>0</v>
      </c>
      <c r="I16">
        <v>3333.3333333333335</v>
      </c>
      <c r="J16">
        <v>3333.3333333333335</v>
      </c>
      <c r="K16">
        <v>3333.3333333333335</v>
      </c>
    </row>
    <row r="17" spans="1:11" x14ac:dyDescent="0.3">
      <c r="A17">
        <v>15</v>
      </c>
      <c r="B17" t="s">
        <v>26</v>
      </c>
      <c r="C17">
        <v>4200</v>
      </c>
      <c r="D17">
        <v>363.33333333333331</v>
      </c>
      <c r="E17">
        <v>593.33333333333337</v>
      </c>
      <c r="F17">
        <v>653.33333333333337</v>
      </c>
      <c r="G17">
        <v>743.33333333333337</v>
      </c>
      <c r="H17">
        <v>360</v>
      </c>
      <c r="I17">
        <v>393.33333333333331</v>
      </c>
      <c r="J17">
        <v>393.33333333333331</v>
      </c>
      <c r="K17">
        <v>700</v>
      </c>
    </row>
    <row r="18" spans="1:11" x14ac:dyDescent="0.3">
      <c r="A18">
        <v>16</v>
      </c>
      <c r="B18" t="s">
        <v>27</v>
      </c>
      <c r="C18">
        <v>4100</v>
      </c>
      <c r="D18">
        <v>500</v>
      </c>
      <c r="E18">
        <v>600</v>
      </c>
      <c r="F18">
        <v>733.33333333333337</v>
      </c>
      <c r="G18">
        <v>833.33333333333337</v>
      </c>
      <c r="H18">
        <v>600</v>
      </c>
      <c r="I18">
        <v>416.66666666666669</v>
      </c>
      <c r="J18">
        <v>416.66666666666669</v>
      </c>
      <c r="K18">
        <v>0</v>
      </c>
    </row>
    <row r="19" spans="1:11" x14ac:dyDescent="0.3">
      <c r="A19">
        <v>17</v>
      </c>
      <c r="B19" t="s">
        <v>28</v>
      </c>
      <c r="C19">
        <v>4690</v>
      </c>
      <c r="D19">
        <v>350</v>
      </c>
      <c r="E19">
        <v>366.66666666666669</v>
      </c>
      <c r="F19">
        <v>706.66666666666663</v>
      </c>
      <c r="G19">
        <v>833.33333333333337</v>
      </c>
      <c r="H19">
        <v>833.33333333333337</v>
      </c>
      <c r="I19">
        <v>533.33333333333337</v>
      </c>
      <c r="J19">
        <v>533.33333333333337</v>
      </c>
      <c r="K19">
        <v>533.33333333333337</v>
      </c>
    </row>
    <row r="20" spans="1:11" x14ac:dyDescent="0.3">
      <c r="A20">
        <v>18</v>
      </c>
      <c r="B20" t="s">
        <v>29</v>
      </c>
      <c r="C20">
        <v>3686.6666666666665</v>
      </c>
      <c r="D20">
        <v>686.66666666666663</v>
      </c>
      <c r="E20">
        <v>916.66666666666663</v>
      </c>
      <c r="F20">
        <v>833.33333333333337</v>
      </c>
      <c r="G20">
        <v>1250</v>
      </c>
      <c r="H20">
        <v>0</v>
      </c>
      <c r="I20">
        <v>0</v>
      </c>
      <c r="J20">
        <v>0</v>
      </c>
      <c r="K20">
        <v>0</v>
      </c>
    </row>
    <row r="21" spans="1:11" x14ac:dyDescent="0.3">
      <c r="A21">
        <v>19</v>
      </c>
      <c r="B21" t="s">
        <v>30</v>
      </c>
      <c r="C21">
        <v>9000</v>
      </c>
      <c r="D21">
        <v>0</v>
      </c>
      <c r="E21">
        <v>0</v>
      </c>
      <c r="F21">
        <v>0</v>
      </c>
      <c r="G21">
        <v>0</v>
      </c>
      <c r="H21">
        <v>0</v>
      </c>
      <c r="I21">
        <v>3000</v>
      </c>
      <c r="J21">
        <v>3000</v>
      </c>
      <c r="K21">
        <v>3000</v>
      </c>
    </row>
    <row r="22" spans="1:11" x14ac:dyDescent="0.3">
      <c r="A22">
        <v>20</v>
      </c>
      <c r="B22" t="s">
        <v>31</v>
      </c>
      <c r="C22">
        <v>4106.666666666667</v>
      </c>
      <c r="D22">
        <v>513.33333333333337</v>
      </c>
      <c r="E22">
        <v>513.33333333333337</v>
      </c>
      <c r="F22">
        <v>513.33333333333337</v>
      </c>
      <c r="G22">
        <v>513.33333333333337</v>
      </c>
      <c r="H22">
        <v>513.33333333333337</v>
      </c>
      <c r="I22">
        <v>513.33333333333337</v>
      </c>
      <c r="J22">
        <v>513.33333333333337</v>
      </c>
      <c r="K22">
        <v>513.33333333333337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FBC6-167D-4518-A0B4-285D838630BD}">
  <sheetPr codeName="Hoja5"/>
  <dimension ref="A1:M24"/>
  <sheetViews>
    <sheetView workbookViewId="0">
      <selection activeCell="I20" sqref="I20"/>
    </sheetView>
  </sheetViews>
  <sheetFormatPr baseColWidth="10" defaultRowHeight="14.4" x14ac:dyDescent="0.3"/>
  <cols>
    <col min="3" max="3" width="16.5546875" bestFit="1" customWidth="1"/>
    <col min="4" max="4" width="12.88671875" bestFit="1" customWidth="1"/>
    <col min="5" max="5" width="13" bestFit="1" customWidth="1"/>
    <col min="6" max="6" width="16.44140625" customWidth="1"/>
  </cols>
  <sheetData>
    <row r="1" spans="1:13" x14ac:dyDescent="0.3">
      <c r="D1" s="6" t="s">
        <v>40</v>
      </c>
      <c r="E1" s="7">
        <f>SUM(D5:D24)</f>
        <v>352058.8</v>
      </c>
    </row>
    <row r="2" spans="1:13" x14ac:dyDescent="0.3">
      <c r="D2" s="6" t="s">
        <v>41</v>
      </c>
      <c r="E2" s="8">
        <f>COUNTA(A5:A28)</f>
        <v>20</v>
      </c>
    </row>
    <row r="3" spans="1:13" x14ac:dyDescent="0.3">
      <c r="J3" s="10" t="s">
        <v>42</v>
      </c>
      <c r="K3" s="10" t="s">
        <v>38</v>
      </c>
      <c r="L3" s="10" t="s">
        <v>41</v>
      </c>
      <c r="M3" s="10" t="s">
        <v>43</v>
      </c>
    </row>
    <row r="4" spans="1:13" x14ac:dyDescent="0.3">
      <c r="A4" s="5" t="s">
        <v>36</v>
      </c>
      <c r="B4" s="3" t="s">
        <v>8</v>
      </c>
      <c r="C4" s="3" t="s">
        <v>9</v>
      </c>
      <c r="D4" t="s">
        <v>35</v>
      </c>
      <c r="E4" s="5" t="s">
        <v>37</v>
      </c>
      <c r="F4" s="5" t="s">
        <v>38</v>
      </c>
      <c r="G4" s="5" t="s">
        <v>39</v>
      </c>
      <c r="J4" s="11" t="s">
        <v>44</v>
      </c>
      <c r="K4" s="12">
        <v>0.4</v>
      </c>
      <c r="L4" s="13">
        <f>COUNTIF(G:G,J4)</f>
        <v>1</v>
      </c>
      <c r="M4" s="14">
        <f>L4/$E$2</f>
        <v>0.05</v>
      </c>
    </row>
    <row r="5" spans="1:13" x14ac:dyDescent="0.3">
      <c r="A5">
        <v>1</v>
      </c>
      <c r="B5">
        <v>1</v>
      </c>
      <c r="C5" t="s">
        <v>12</v>
      </c>
      <c r="D5" s="4">
        <v>134398.79999999999</v>
      </c>
      <c r="E5" s="9">
        <f>A5/$E$2</f>
        <v>0.05</v>
      </c>
      <c r="F5" s="9">
        <f>D5/$E$1</f>
        <v>0.38175100295746051</v>
      </c>
      <c r="G5" s="23" t="str">
        <f>IF(F5&lt;$K$4,$J$4,IF(F5&lt;$K$5,$J$5,$J$6))</f>
        <v>A</v>
      </c>
      <c r="J5" s="15" t="s">
        <v>45</v>
      </c>
      <c r="K5" s="16">
        <v>0.8</v>
      </c>
      <c r="L5" s="17">
        <f>COUNTIF(G:G,J5)</f>
        <v>6</v>
      </c>
      <c r="M5" s="18">
        <f>L5/$E$2</f>
        <v>0.3</v>
      </c>
    </row>
    <row r="6" spans="1:13" x14ac:dyDescent="0.3">
      <c r="A6">
        <v>2</v>
      </c>
      <c r="B6">
        <v>2</v>
      </c>
      <c r="C6" t="s">
        <v>13</v>
      </c>
      <c r="D6" s="4">
        <v>42300</v>
      </c>
      <c r="E6" s="9">
        <f t="shared" ref="E6:E24" si="0">A6/$E$2</f>
        <v>0.1</v>
      </c>
      <c r="F6" s="9">
        <f>D6/$E$1+F5</f>
        <v>0.50190138692741093</v>
      </c>
      <c r="G6" s="23" t="str">
        <f t="shared" ref="G6:G24" si="1">IF(F6&lt;$K$4,$J$4,IF(F6&lt;$K$5,$J$5,$J$6))</f>
        <v>B</v>
      </c>
      <c r="J6" s="19" t="s">
        <v>46</v>
      </c>
      <c r="K6" s="20" t="s">
        <v>47</v>
      </c>
      <c r="L6" s="21">
        <f>COUNTIF(G:G,J6)</f>
        <v>13</v>
      </c>
      <c r="M6" s="22">
        <f>L6/$E$2</f>
        <v>0.65</v>
      </c>
    </row>
    <row r="7" spans="1:13" x14ac:dyDescent="0.3">
      <c r="A7">
        <v>3</v>
      </c>
      <c r="B7">
        <v>3</v>
      </c>
      <c r="C7" t="s">
        <v>14</v>
      </c>
      <c r="D7" s="4">
        <v>42300</v>
      </c>
      <c r="E7" s="9">
        <f t="shared" si="0"/>
        <v>0.15</v>
      </c>
      <c r="F7" s="9">
        <f t="shared" ref="F7:F24" si="2">D7/$E$1+F6</f>
        <v>0.62205177089736141</v>
      </c>
      <c r="G7" s="23" t="str">
        <f t="shared" si="1"/>
        <v>B</v>
      </c>
    </row>
    <row r="8" spans="1:13" x14ac:dyDescent="0.3">
      <c r="A8">
        <v>4</v>
      </c>
      <c r="B8">
        <v>4</v>
      </c>
      <c r="C8" t="s">
        <v>15</v>
      </c>
      <c r="D8" s="4">
        <v>36663.333333333328</v>
      </c>
      <c r="E8" s="9">
        <f t="shared" si="0"/>
        <v>0.2</v>
      </c>
      <c r="F8" s="9">
        <f t="shared" si="2"/>
        <v>0.72619157178668259</v>
      </c>
      <c r="G8" s="23" t="str">
        <f t="shared" si="1"/>
        <v>B</v>
      </c>
    </row>
    <row r="9" spans="1:13" x14ac:dyDescent="0.3">
      <c r="A9">
        <v>5</v>
      </c>
      <c r="B9">
        <v>5</v>
      </c>
      <c r="C9" t="s">
        <v>16</v>
      </c>
      <c r="D9" s="4">
        <v>8800</v>
      </c>
      <c r="E9" s="9">
        <f t="shared" si="0"/>
        <v>0.25</v>
      </c>
      <c r="F9" s="9">
        <f t="shared" si="2"/>
        <v>0.75118739634780707</v>
      </c>
      <c r="G9" s="23" t="str">
        <f t="shared" si="1"/>
        <v>B</v>
      </c>
    </row>
    <row r="10" spans="1:13" x14ac:dyDescent="0.3">
      <c r="A10">
        <v>6</v>
      </c>
      <c r="B10">
        <v>6</v>
      </c>
      <c r="C10" t="s">
        <v>17</v>
      </c>
      <c r="D10" s="4">
        <v>13000</v>
      </c>
      <c r="E10" s="9">
        <f t="shared" si="0"/>
        <v>0.3</v>
      </c>
      <c r="F10" s="9">
        <f t="shared" si="2"/>
        <v>0.78811304626765</v>
      </c>
      <c r="G10" s="23" t="str">
        <f t="shared" si="1"/>
        <v>B</v>
      </c>
    </row>
    <row r="11" spans="1:13" x14ac:dyDescent="0.3">
      <c r="A11">
        <v>7</v>
      </c>
      <c r="B11">
        <v>7</v>
      </c>
      <c r="C11" t="s">
        <v>18</v>
      </c>
      <c r="D11" s="4">
        <v>0</v>
      </c>
      <c r="E11" s="9">
        <f t="shared" si="0"/>
        <v>0.35</v>
      </c>
      <c r="F11" s="9">
        <f t="shared" si="2"/>
        <v>0.78811304626765</v>
      </c>
      <c r="G11" s="23" t="str">
        <f t="shared" si="1"/>
        <v>B</v>
      </c>
    </row>
    <row r="12" spans="1:13" x14ac:dyDescent="0.3">
      <c r="A12">
        <v>8</v>
      </c>
      <c r="B12">
        <v>8</v>
      </c>
      <c r="C12" t="s">
        <v>19</v>
      </c>
      <c r="D12" s="4">
        <v>5039.9999999999991</v>
      </c>
      <c r="E12" s="9">
        <f t="shared" si="0"/>
        <v>0.4</v>
      </c>
      <c r="F12" s="9">
        <f t="shared" si="2"/>
        <v>0.80242883669811216</v>
      </c>
      <c r="G12" s="23" t="str">
        <f t="shared" si="1"/>
        <v>C</v>
      </c>
    </row>
    <row r="13" spans="1:13" x14ac:dyDescent="0.3">
      <c r="A13">
        <v>9</v>
      </c>
      <c r="B13">
        <v>9</v>
      </c>
      <c r="C13" t="s">
        <v>20</v>
      </c>
      <c r="D13" s="4">
        <v>3400.0000000000005</v>
      </c>
      <c r="E13" s="9">
        <f t="shared" si="0"/>
        <v>0.45</v>
      </c>
      <c r="F13" s="9">
        <f t="shared" si="2"/>
        <v>0.81208631436945566</v>
      </c>
      <c r="G13" s="23" t="str">
        <f t="shared" si="1"/>
        <v>C</v>
      </c>
    </row>
    <row r="14" spans="1:13" x14ac:dyDescent="0.3">
      <c r="A14">
        <v>10</v>
      </c>
      <c r="B14">
        <v>10</v>
      </c>
      <c r="C14" t="s">
        <v>21</v>
      </c>
      <c r="D14" s="4">
        <v>5623.3333333333339</v>
      </c>
      <c r="E14" s="9">
        <f t="shared" si="0"/>
        <v>0.5</v>
      </c>
      <c r="F14" s="9">
        <f t="shared" si="2"/>
        <v>0.82805902498862871</v>
      </c>
      <c r="G14" s="23" t="str">
        <f t="shared" si="1"/>
        <v>C</v>
      </c>
    </row>
    <row r="15" spans="1:13" x14ac:dyDescent="0.3">
      <c r="A15">
        <v>11</v>
      </c>
      <c r="B15">
        <v>11</v>
      </c>
      <c r="C15" t="s">
        <v>22</v>
      </c>
      <c r="D15" s="4">
        <v>4583.3333333333339</v>
      </c>
      <c r="E15" s="9">
        <f t="shared" si="0"/>
        <v>0.55000000000000004</v>
      </c>
      <c r="F15" s="9">
        <f t="shared" si="2"/>
        <v>0.84107768361421431</v>
      </c>
      <c r="G15" s="23" t="str">
        <f t="shared" si="1"/>
        <v>C</v>
      </c>
    </row>
    <row r="16" spans="1:13" x14ac:dyDescent="0.3">
      <c r="A16">
        <v>12</v>
      </c>
      <c r="B16">
        <v>12</v>
      </c>
      <c r="C16" t="s">
        <v>23</v>
      </c>
      <c r="D16" s="4">
        <v>5816.666666666667</v>
      </c>
      <c r="E16" s="9">
        <f t="shared" si="0"/>
        <v>0.6</v>
      </c>
      <c r="F16" s="9">
        <f t="shared" si="2"/>
        <v>0.85759954492450297</v>
      </c>
      <c r="G16" s="23" t="str">
        <f t="shared" si="1"/>
        <v>C</v>
      </c>
    </row>
    <row r="17" spans="1:7" x14ac:dyDescent="0.3">
      <c r="A17">
        <v>13</v>
      </c>
      <c r="B17">
        <v>13</v>
      </c>
      <c r="C17" t="s">
        <v>24</v>
      </c>
      <c r="D17" s="4">
        <v>10350</v>
      </c>
      <c r="E17" s="9">
        <f t="shared" si="0"/>
        <v>0.65</v>
      </c>
      <c r="F17" s="9">
        <f t="shared" si="2"/>
        <v>0.88699804312991637</v>
      </c>
      <c r="G17" s="23" t="str">
        <f t="shared" si="1"/>
        <v>C</v>
      </c>
    </row>
    <row r="18" spans="1:7" x14ac:dyDescent="0.3">
      <c r="A18">
        <v>14</v>
      </c>
      <c r="B18">
        <v>14</v>
      </c>
      <c r="C18" t="s">
        <v>25</v>
      </c>
      <c r="D18" s="4">
        <v>10000</v>
      </c>
      <c r="E18" s="9">
        <f t="shared" si="0"/>
        <v>0.7</v>
      </c>
      <c r="F18" s="9">
        <f t="shared" si="2"/>
        <v>0.91540238922210326</v>
      </c>
      <c r="G18" s="23" t="str">
        <f t="shared" si="1"/>
        <v>C</v>
      </c>
    </row>
    <row r="19" spans="1:7" x14ac:dyDescent="0.3">
      <c r="A19">
        <v>15</v>
      </c>
      <c r="B19">
        <v>15</v>
      </c>
      <c r="C19" t="s">
        <v>26</v>
      </c>
      <c r="D19" s="4">
        <v>4200</v>
      </c>
      <c r="E19" s="9">
        <f t="shared" si="0"/>
        <v>0.75</v>
      </c>
      <c r="F19" s="9">
        <f t="shared" si="2"/>
        <v>0.92733221458082171</v>
      </c>
      <c r="G19" s="23" t="str">
        <f t="shared" si="1"/>
        <v>C</v>
      </c>
    </row>
    <row r="20" spans="1:7" x14ac:dyDescent="0.3">
      <c r="A20">
        <v>16</v>
      </c>
      <c r="B20">
        <v>16</v>
      </c>
      <c r="C20" t="s">
        <v>27</v>
      </c>
      <c r="D20" s="4">
        <v>4100</v>
      </c>
      <c r="E20" s="9">
        <f t="shared" si="0"/>
        <v>0.8</v>
      </c>
      <c r="F20" s="9">
        <f t="shared" si="2"/>
        <v>0.93897799647861835</v>
      </c>
      <c r="G20" s="23" t="str">
        <f t="shared" si="1"/>
        <v>C</v>
      </c>
    </row>
    <row r="21" spans="1:7" x14ac:dyDescent="0.3">
      <c r="A21">
        <v>17</v>
      </c>
      <c r="B21">
        <v>17</v>
      </c>
      <c r="C21" t="s">
        <v>28</v>
      </c>
      <c r="D21" s="4">
        <v>4690</v>
      </c>
      <c r="E21" s="9">
        <f t="shared" si="0"/>
        <v>0.85</v>
      </c>
      <c r="F21" s="9">
        <f t="shared" si="2"/>
        <v>0.952299634795854</v>
      </c>
      <c r="G21" s="23" t="str">
        <f t="shared" si="1"/>
        <v>C</v>
      </c>
    </row>
    <row r="22" spans="1:7" x14ac:dyDescent="0.3">
      <c r="A22">
        <v>18</v>
      </c>
      <c r="B22">
        <v>18</v>
      </c>
      <c r="C22" t="s">
        <v>29</v>
      </c>
      <c r="D22" s="4">
        <v>3686.6666666666665</v>
      </c>
      <c r="E22" s="9">
        <f t="shared" si="0"/>
        <v>0.9</v>
      </c>
      <c r="F22" s="9">
        <f t="shared" si="2"/>
        <v>0.96277137038850691</v>
      </c>
      <c r="G22" s="23" t="str">
        <f t="shared" si="1"/>
        <v>C</v>
      </c>
    </row>
    <row r="23" spans="1:7" x14ac:dyDescent="0.3">
      <c r="A23">
        <v>19</v>
      </c>
      <c r="B23">
        <v>19</v>
      </c>
      <c r="C23" t="s">
        <v>30</v>
      </c>
      <c r="D23" s="4">
        <v>9000</v>
      </c>
      <c r="E23" s="9">
        <f t="shared" si="0"/>
        <v>0.95</v>
      </c>
      <c r="F23" s="9">
        <f t="shared" si="2"/>
        <v>0.98833528187147512</v>
      </c>
      <c r="G23" s="23" t="str">
        <f t="shared" si="1"/>
        <v>C</v>
      </c>
    </row>
    <row r="24" spans="1:7" x14ac:dyDescent="0.3">
      <c r="A24">
        <v>20</v>
      </c>
      <c r="B24">
        <v>20</v>
      </c>
      <c r="C24" t="s">
        <v>31</v>
      </c>
      <c r="D24" s="4">
        <v>4106.666666666667</v>
      </c>
      <c r="E24" s="9">
        <f t="shared" si="0"/>
        <v>1</v>
      </c>
      <c r="F24" s="9">
        <f t="shared" si="2"/>
        <v>0.99999999999999989</v>
      </c>
      <c r="G24" s="23" t="str">
        <f t="shared" si="1"/>
        <v>C</v>
      </c>
    </row>
  </sheetData>
  <conditionalFormatting sqref="G5:G24">
    <cfRule type="containsText" dxfId="2" priority="1" operator="containsText" text="C">
      <formula>NOT(ISERROR(SEARCH("C",G5)))</formula>
    </cfRule>
    <cfRule type="containsText" dxfId="1" priority="2" operator="containsText" text="B">
      <formula>NOT(ISERROR(SEARCH("B",G5)))</formula>
    </cfRule>
    <cfRule type="containsText" dxfId="0" priority="3" operator="containsText" text="A">
      <formula>NOT(ISERROR(SEARCH("A",G5)))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Hoja5</vt:lpstr>
      <vt:lpstr>Ventas</vt:lpstr>
      <vt:lpstr>Factura</vt:lpstr>
      <vt:lpstr>Inventario</vt:lpstr>
      <vt:lpstr>Histórico de Ventas</vt:lpstr>
      <vt:lpstr>ABC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ALEJANDRO GOMEZ SIMON</dc:creator>
  <cp:lastModifiedBy>IVAN ALEJANDRO GOMEZ SIMON</cp:lastModifiedBy>
  <dcterms:created xsi:type="dcterms:W3CDTF">2023-10-06T23:03:04Z</dcterms:created>
  <dcterms:modified xsi:type="dcterms:W3CDTF">2023-11-16T03:29:25Z</dcterms:modified>
</cp:coreProperties>
</file>