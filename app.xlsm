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02FCD862-32E0-4456-A498-964EB208DDA6}" xr6:coauthVersionLast="47" xr6:coauthVersionMax="47" xr10:uidLastSave="{00000000-0000-0000-0000-000000000000}"/>
  <bookViews>
    <workbookView xWindow="-108" yWindow="-108" windowWidth="23256" windowHeight="12456" xr2:uid="{F0B8DF64-9BD1-4418-B757-F80C3CE41DE7}"/>
  </bookViews>
  <sheets>
    <sheet name="Hoja5" sheetId="5" r:id="rId1"/>
    <sheet name="Ventas" sheetId="1" r:id="rId2"/>
    <sheet name="Inventario" sheetId="2" r:id="rId3"/>
    <sheet name="Histórico de Ventas" sheetId="3" r:id="rId4"/>
    <sheet name="ABC" sheetId="4" r:id="rId5"/>
  </sheet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4" l="1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<sst xmlns="http://schemas.openxmlformats.org/spreadsheetml/2006/main" count="103" uniqueCount="58">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</sst>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43" fontId="0" fillId="4" borderId="0" xfId="0" applyNumberFormat="1" applyFill="1"/>
    <xf numFmtId="0" fontId="0" fillId="4" borderId="0" xfId="0" applyFill="1"/>
    <xf numFmtId="9" fontId="0" fillId="0" borderId="0" xfId="0" applyNumberFormat="1"/>
    <xf numFmtId="9" fontId="0" fillId="0" borderId="0" xfId="0" applyNumberFormat="1" applyFon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5" formatCode="#,##0;\-#,##0"/>
    </dxf>
    <dxf>
      <numFmt numFmtId="164" formatCode="hh:mm:ss\ AM/PM"/>
    </dxf>
    <dxf>
      <numFmt numFmtId="164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CA25C09-0839-4584-8F53-A11D6EA91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5"/>
    <tableColumn id="3" xr3:uid="{E8EF60D2-9116-4CCA-9483-0BD4CD461784}" name="Hora" dataDxfId="4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D21" totalsRowShown="0">
  <autoFilter ref="A1:D21" xr:uid="{11F420C3-E397-4B8C-894B-BAC45806E6CA}"/>
  <tableColumns count="4">
    <tableColumn id="1" xr3:uid="{EE3806DC-7773-4FBF-A057-561A0F09B2DE}" name="Product ID"/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K17"/>
  <sheetViews>
    <sheetView tabSelected="1" workbookViewId="0">
      <selection activeCell="H13" sqref="H13"/>
    </sheetView>
  </sheetViews>
  <sheetFormatPr baseColWidth="10" defaultRowHeight="14.4" x14ac:dyDescent="0.3"/>
  <sheetData>
    <row r="1" spans="1:11" x14ac:dyDescent="0.3">
      <c r="A1" t="s">
        <v>43</v>
      </c>
    </row>
    <row r="4" spans="1:11" x14ac:dyDescent="0.3">
      <c r="K4" s="2"/>
    </row>
    <row r="9" spans="1:11" x14ac:dyDescent="0.3">
      <c r="E9" s="2"/>
    </row>
    <row r="10" spans="1:11" x14ac:dyDescent="0.3">
      <c r="I10" s="2"/>
      <c r="J10" s="2"/>
    </row>
    <row r="13" spans="1:11" x14ac:dyDescent="0.3">
      <c r="H13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D21"/>
  <sheetViews>
    <sheetView workbookViewId="0">
      <selection activeCell="B8" sqref="B8"/>
    </sheetView>
  </sheetViews>
  <sheetFormatPr baseColWidth="10" defaultRowHeight="14.4" x14ac:dyDescent="0.3"/>
  <cols>
    <col min="2" max="2" width="12.5546875" customWidth="1"/>
    <col min="4" max="4" width="15.77734375" customWidth="1"/>
  </cols>
  <sheetData>
    <row r="1" spans="1:4" x14ac:dyDescent="0.3">
      <c r="A1" t="s">
        <v>44</v>
      </c>
      <c r="B1" t="s">
        <v>11</v>
      </c>
      <c r="C1" t="s">
        <v>12</v>
      </c>
      <c r="D1" t="s">
        <v>13</v>
      </c>
    </row>
    <row r="2" spans="1:4" x14ac:dyDescent="0.3">
      <c r="A2">
        <v>1</v>
      </c>
      <c r="B2" t="s">
        <v>14</v>
      </c>
      <c r="C2">
        <v>424</v>
      </c>
      <c r="D2">
        <v>34</v>
      </c>
    </row>
    <row r="3" spans="1:4" x14ac:dyDescent="0.3">
      <c r="A3">
        <v>2</v>
      </c>
      <c r="B3" t="s">
        <v>15</v>
      </c>
      <c r="C3">
        <v>76</v>
      </c>
      <c r="D3">
        <v>24</v>
      </c>
    </row>
    <row r="4" spans="1:4" x14ac:dyDescent="0.3">
      <c r="A4">
        <v>3</v>
      </c>
      <c r="B4" t="s">
        <v>16</v>
      </c>
      <c r="C4">
        <v>104</v>
      </c>
      <c r="D4">
        <v>23</v>
      </c>
    </row>
    <row r="5" spans="1:4" x14ac:dyDescent="0.3">
      <c r="A5">
        <v>4</v>
      </c>
      <c r="B5" t="s">
        <v>17</v>
      </c>
      <c r="C5">
        <v>496</v>
      </c>
      <c r="D5">
        <v>41</v>
      </c>
    </row>
    <row r="6" spans="1:4" x14ac:dyDescent="0.3">
      <c r="A6">
        <v>5</v>
      </c>
      <c r="B6" t="s">
        <v>18</v>
      </c>
      <c r="C6">
        <v>337</v>
      </c>
      <c r="D6">
        <v>28</v>
      </c>
    </row>
    <row r="7" spans="1:4" x14ac:dyDescent="0.3">
      <c r="A7">
        <v>6</v>
      </c>
      <c r="B7" t="s">
        <v>19</v>
      </c>
      <c r="C7">
        <v>393</v>
      </c>
      <c r="D7">
        <v>30</v>
      </c>
    </row>
    <row r="8" spans="1:4" x14ac:dyDescent="0.3">
      <c r="A8">
        <v>7</v>
      </c>
      <c r="B8" t="s">
        <v>20</v>
      </c>
      <c r="C8">
        <v>468</v>
      </c>
      <c r="D8">
        <v>28</v>
      </c>
    </row>
    <row r="9" spans="1:4" x14ac:dyDescent="0.3">
      <c r="A9">
        <v>8</v>
      </c>
      <c r="B9" t="s">
        <v>21</v>
      </c>
      <c r="C9">
        <v>116</v>
      </c>
      <c r="D9">
        <v>33</v>
      </c>
    </row>
    <row r="10" spans="1:4" x14ac:dyDescent="0.3">
      <c r="A10">
        <v>9</v>
      </c>
      <c r="B10" t="s">
        <v>22</v>
      </c>
      <c r="C10">
        <v>380</v>
      </c>
      <c r="D10">
        <v>22</v>
      </c>
    </row>
    <row r="11" spans="1:4" x14ac:dyDescent="0.3">
      <c r="A11">
        <v>10</v>
      </c>
      <c r="B11" t="s">
        <v>23</v>
      </c>
      <c r="C11">
        <v>67</v>
      </c>
      <c r="D11">
        <v>49</v>
      </c>
    </row>
    <row r="12" spans="1:4" x14ac:dyDescent="0.3">
      <c r="A12">
        <v>11</v>
      </c>
      <c r="B12" t="s">
        <v>24</v>
      </c>
      <c r="C12">
        <v>191</v>
      </c>
      <c r="D12">
        <v>27</v>
      </c>
    </row>
    <row r="13" spans="1:4" x14ac:dyDescent="0.3">
      <c r="A13">
        <v>12</v>
      </c>
      <c r="B13" t="s">
        <v>25</v>
      </c>
      <c r="C13">
        <v>454</v>
      </c>
      <c r="D13">
        <v>13</v>
      </c>
    </row>
    <row r="14" spans="1:4" x14ac:dyDescent="0.3">
      <c r="A14">
        <v>13</v>
      </c>
      <c r="B14" t="s">
        <v>26</v>
      </c>
      <c r="C14">
        <v>77</v>
      </c>
      <c r="D14">
        <v>50</v>
      </c>
    </row>
    <row r="15" spans="1:4" x14ac:dyDescent="0.3">
      <c r="A15">
        <v>14</v>
      </c>
      <c r="B15" t="s">
        <v>27</v>
      </c>
      <c r="C15">
        <v>197</v>
      </c>
      <c r="D15">
        <v>44</v>
      </c>
    </row>
    <row r="16" spans="1:4" x14ac:dyDescent="0.3">
      <c r="A16">
        <v>15</v>
      </c>
      <c r="B16" t="s">
        <v>28</v>
      </c>
      <c r="C16">
        <v>222</v>
      </c>
      <c r="D16">
        <v>47</v>
      </c>
    </row>
    <row r="17" spans="1:4" x14ac:dyDescent="0.3">
      <c r="A17">
        <v>16</v>
      </c>
      <c r="B17" t="s">
        <v>29</v>
      </c>
      <c r="C17">
        <v>111</v>
      </c>
      <c r="D17">
        <v>25</v>
      </c>
    </row>
    <row r="18" spans="1:4" x14ac:dyDescent="0.3">
      <c r="A18">
        <v>17</v>
      </c>
      <c r="B18" t="s">
        <v>30</v>
      </c>
      <c r="C18">
        <v>236</v>
      </c>
      <c r="D18">
        <v>42</v>
      </c>
    </row>
    <row r="19" spans="1:4" x14ac:dyDescent="0.3">
      <c r="A19">
        <v>18</v>
      </c>
      <c r="B19" t="s">
        <v>31</v>
      </c>
      <c r="C19">
        <v>229</v>
      </c>
      <c r="D19">
        <v>26</v>
      </c>
    </row>
    <row r="20" spans="1:4" x14ac:dyDescent="0.3">
      <c r="A20">
        <v>19</v>
      </c>
      <c r="B20" t="s">
        <v>32</v>
      </c>
      <c r="C20">
        <v>160</v>
      </c>
      <c r="D20">
        <v>14</v>
      </c>
    </row>
    <row r="21" spans="1:4" x14ac:dyDescent="0.3">
      <c r="A21">
        <v>20</v>
      </c>
      <c r="B21" t="s">
        <v>33</v>
      </c>
      <c r="C21">
        <v>334</v>
      </c>
      <c r="D21">
        <v>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D16" sqref="D16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1" t="s">
        <v>52</v>
      </c>
      <c r="K3" s="11" t="s">
        <v>48</v>
      </c>
      <c r="L3" s="11" t="s">
        <v>51</v>
      </c>
      <c r="M3" s="11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2" t="s">
        <v>54</v>
      </c>
      <c r="K4" s="13">
        <v>0.4</v>
      </c>
      <c r="L4" s="14">
        <f>COUNTIF(G:G,J4)</f>
        <v>1</v>
      </c>
      <c r="M4" s="15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10">
        <f>D5/$E$1</f>
        <v>0.38175100295746051</v>
      </c>
      <c r="G5" s="24" t="str">
        <f>IF(F5&lt;$K$4,$J$4,IF(F5&lt;$K$5,$J$5,$J$6))</f>
        <v>A</v>
      </c>
      <c r="J5" s="16" t="s">
        <v>55</v>
      </c>
      <c r="K5" s="17">
        <v>0.8</v>
      </c>
      <c r="L5" s="18">
        <f>COUNTIF(G:G,J5)</f>
        <v>6</v>
      </c>
      <c r="M5" s="19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10">
        <f>D6/$E$1+F5</f>
        <v>0.50190138692741093</v>
      </c>
      <c r="G6" s="24" t="str">
        <f t="shared" ref="G6:G24" si="1">IF(F6&lt;$K$4,$J$4,IF(F6&lt;$K$5,$J$5,$J$6))</f>
        <v>B</v>
      </c>
      <c r="J6" s="20" t="s">
        <v>56</v>
      </c>
      <c r="K6" s="21" t="s">
        <v>57</v>
      </c>
      <c r="L6" s="22">
        <f>COUNTIF(G:G,J6)</f>
        <v>13</v>
      </c>
      <c r="M6" s="23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10">
        <f t="shared" ref="F7:F24" si="2">D7/$E$1+F6</f>
        <v>0.62205177089736141</v>
      </c>
      <c r="G7" s="24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10">
        <f t="shared" si="2"/>
        <v>0.72619157178668259</v>
      </c>
      <c r="G8" s="24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10">
        <f t="shared" si="2"/>
        <v>0.75118739634780707</v>
      </c>
      <c r="G9" s="24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10">
        <f t="shared" si="2"/>
        <v>0.78811304626765</v>
      </c>
      <c r="G10" s="24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10">
        <f t="shared" si="2"/>
        <v>0.78811304626765</v>
      </c>
      <c r="G11" s="24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10">
        <f t="shared" si="2"/>
        <v>0.80242883669811216</v>
      </c>
      <c r="G12" s="24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10">
        <f t="shared" si="2"/>
        <v>0.81208631436945566</v>
      </c>
      <c r="G13" s="24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10">
        <f t="shared" si="2"/>
        <v>0.82805902498862871</v>
      </c>
      <c r="G14" s="24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10">
        <f t="shared" si="2"/>
        <v>0.84107768361421431</v>
      </c>
      <c r="G15" s="24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10">
        <f t="shared" si="2"/>
        <v>0.85759954492450297</v>
      </c>
      <c r="G16" s="24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10">
        <f t="shared" si="2"/>
        <v>0.88699804312991637</v>
      </c>
      <c r="G17" s="24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10">
        <f t="shared" si="2"/>
        <v>0.91540238922210326</v>
      </c>
      <c r="G18" s="24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10">
        <f t="shared" si="2"/>
        <v>0.92733221458082171</v>
      </c>
      <c r="G19" s="24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10">
        <f t="shared" si="2"/>
        <v>0.93897799647861835</v>
      </c>
      <c r="G20" s="24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10">
        <f t="shared" si="2"/>
        <v>0.952299634795854</v>
      </c>
      <c r="G21" s="24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10">
        <f t="shared" si="2"/>
        <v>0.96277137038850691</v>
      </c>
      <c r="G22" s="24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10">
        <f t="shared" si="2"/>
        <v>0.98833528187147512</v>
      </c>
      <c r="G23" s="24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10">
        <f t="shared" si="2"/>
        <v>0.99999999999999989</v>
      </c>
      <c r="G24" s="24" t="str">
        <f t="shared" si="1"/>
        <v>C</v>
      </c>
    </row>
  </sheetData>
  <conditionalFormatting sqref="G5:G24">
    <cfRule type="containsText" dxfId="2" priority="1" operator="containsText" text="C">
      <formula>NOT(ISERROR(SEARCH("C",G5)))</formula>
    </cfRule>
    <cfRule type="containsText" dxfId="1" priority="2" operator="containsText" text="B">
      <formula>NOT(ISERROR(SEARCH("B",G5)))</formula>
    </cfRule>
    <cfRule type="containsText" dxfId="0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Hoja5</vt:lpstr>
      <vt:lpstr>Ventas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2023-10-07T00:02:29Z</dcterms:modified>
</cp:coreProperties>
</file>